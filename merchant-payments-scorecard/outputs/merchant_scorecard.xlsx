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recard" sheetId="1" state="visible" r:id="rId3"/>
    <sheet name="Monthly Trend" sheetId="2" state="visible" r:id="rId4"/>
    <sheet name="Payment Methods" sheetId="3" state="visible" r:id="rId5"/>
    <sheet name="Card Installments" sheetId="4" state="visible" r:id="rId6"/>
    <sheet name="Seller Funnel" sheetId="5" state="visible" r:id="rId7"/>
    <sheet name="Seller Activation" sheetId="6" state="visible" r:id="rId8"/>
    <sheet name="Seller Concentration" sheetId="7" state="visible" r:id="rId9"/>
    <sheet name="Delivery vs Reviews" sheetId="8" state="visible" r:id="rId10"/>
    <sheet name="Late Delivery Cause" sheetId="9" state="visible" r:id="rId11"/>
    <sheet name="Categories" sheetId="10" state="visible" r:id="rId12"/>
    <sheet name="States" sheetId="11" state="visible" r:id="rId13"/>
    <sheet name="Data Quality" sheetId="12" state="visible" r:id="rId14"/>
    <sheet name="Definition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<sst xmlns="http://schemas.openxmlformats.org/spreadsheetml/2006/main" count="226" uniqueCount="189">
  <si>
    <t xml:space="preserve">Merchant Payments Scorecard</t>
  </si>
  <si>
    <t xml:space="preserve">Olist marketplace (Brazil), Jan 2017 - Aug 2018, amounts in R$. Pick a month in C4 and the page updates.</t>
  </si>
  <si>
    <t xml:space="preserve">Month:</t>
  </si>
  <si>
    <t xml:space="preserve">2018-08</t>
  </si>
  <si>
    <t xml:space="preserve">KPI</t>
  </si>
  <si>
    <t xml:space="preserve">Selected month</t>
  </si>
  <si>
    <t xml:space="preserve">Prior month</t>
  </si>
  <si>
    <t xml:space="preserve">Change</t>
  </si>
  <si>
    <t xml:space="preserve">Avg of prior 6 months</t>
  </si>
  <si>
    <t xml:space="preserve">Vs 6-month avg</t>
  </si>
  <si>
    <t xml:space="preserve">GMV (R$)</t>
  </si>
  <si>
    <t xml:space="preserve">Orders</t>
  </si>
  <si>
    <t xml:space="preserve">Average order value (R$)</t>
  </si>
  <si>
    <t xml:space="preserve">Canceled orders %</t>
  </si>
  <si>
    <t xml:space="preserve">Active sellers</t>
  </si>
  <si>
    <t xml:space="preserve">New sellers (first sale)</t>
  </si>
  <si>
    <t xml:space="preserve">Last month's sellers who sold again %</t>
  </si>
  <si>
    <t xml:space="preserve">GMV per active seller (R$)</t>
  </si>
  <si>
    <t xml:space="preserve">Paid by credit card % (of value)</t>
  </si>
  <si>
    <t xml:space="preserve">Average card installments</t>
  </si>
  <si>
    <t xml:space="preserve">Seller shipped on time %</t>
  </si>
  <si>
    <t xml:space="preserve">Delivered on time %</t>
  </si>
  <si>
    <t xml:space="preserve">Average delivery days</t>
  </si>
  <si>
    <t xml:space="preserve">Average review score (1-5)</t>
  </si>
  <si>
    <t xml:space="preserve">1-2 star reviews %</t>
  </si>
  <si>
    <t xml:space="preserve">Green = better for the business, red = worse, no colour = mix metric. Definitions are on the 'Definitions' sheet.</t>
  </si>
  <si>
    <t xml:space="preserve">Month</t>
  </si>
  <si>
    <t xml:space="preserve">GMV MoM %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</si>
  <si>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</si>
  <si>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</si>
  <si>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</si>
  <si>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</si>
  <si>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</si>
  <si>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</si>
  <si>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</si>
  <si>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</si>
  <si>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</si>
  <si>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</si>
  <si>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</si>
  <si>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</si>
  <si>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</si>
  <si>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</si>
  <si>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</si>
  <si>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</si>
  <si>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</si>
  <si>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</si>
  <si>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</si>
  <si>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Payment method</t>
  </si>
  <si>
    <t xml:space="preserve">Order share pct</t>
  </si>
  <si>
    <t xml:space="preserve">Value share pct</t>
  </si>
  <si>
    <t xml:space="preserve">Avg amount paid</t>
  </si>
  <si>
    <t xml:space="preserve">Median hours to approve</t>
  </si>
  <si>
    <t xml:space="preserve">Canceled pct</t>
  </si>
  <si>
    <t xml:space="preserve">Avg review score</t>
  </si>
  <si>
    <t xml:space="preserve">credit_card</t>
  </si>
  <si>
    <t xml:space="preserve">boleto</t>
  </si>
  <si>
    <t xml:space="preserve">voucher</t>
  </si>
  <si>
    <t xml:space="preserve">debit_card</t>
  </si>
  <si>
    <t xml:space="preserve">Installment plan</t>
  </si>
  <si>
    <t xml:space="preserve">1) Paid in full</t>
  </si>
  <si>
    <t xml:space="preserve">2) 2-3 installments</t>
  </si>
  <si>
    <t xml:space="preserve">3) 4-6 installments</t>
  </si>
  <si>
    <t xml:space="preserve">4) 7-10 installments</t>
  </si>
  <si>
    <t xml:space="preserve">5) 11+ installments</t>
  </si>
  <si>
    <t xml:space="preserve">Lead channel</t>
  </si>
  <si>
    <t xml:space="preserve">Leads</t>
  </si>
  <si>
    <t xml:space="preserve">Signed sellers</t>
  </si>
  <si>
    <t xml:space="preserve">Lead to signed pct</t>
  </si>
  <si>
    <t xml:space="preserve">Median days to close</t>
  </si>
  <si>
    <t xml:space="preserve">Signed with first sale pct</t>
  </si>
  <si>
    <t xml:space="preserve">Gmv per signed seller</t>
  </si>
  <si>
    <t xml:space="preserve">organic_search</t>
  </si>
  <si>
    <t xml:space="preserve">paid_search</t>
  </si>
  <si>
    <t xml:space="preserve">social</t>
  </si>
  <si>
    <t xml:space="preserve">unknown</t>
  </si>
  <si>
    <t xml:space="preserve">direct_traffic</t>
  </si>
  <si>
    <t xml:space="preserve">email</t>
  </si>
  <si>
    <t xml:space="preserve">referral</t>
  </si>
  <si>
    <t xml:space="preserve">other</t>
  </si>
  <si>
    <t xml:space="preserve">display</t>
  </si>
  <si>
    <t xml:space="preserve">other_publicities</t>
  </si>
  <si>
    <t xml:space="preserve">Seller type</t>
  </si>
  <si>
    <t xml:space="preserve">With first sale pct</t>
  </si>
  <si>
    <t xml:space="preserve">Avg days to first sale</t>
  </si>
  <si>
    <t xml:space="preserve">online_medium</t>
  </si>
  <si>
    <t xml:space="preserve">online_big</t>
  </si>
  <si>
    <t xml:space="preserve">industry</t>
  </si>
  <si>
    <t xml:space="preserve">offline</t>
  </si>
  <si>
    <t xml:space="preserve">online_small</t>
  </si>
  <si>
    <t xml:space="preserve">online_beginner</t>
  </si>
  <si>
    <t xml:space="preserve">online_top</t>
  </si>
  <si>
    <t xml:space="preserve">Seller decile</t>
  </si>
  <si>
    <t xml:space="preserve">Sellers</t>
  </si>
  <si>
    <t xml:space="preserve">Gmv</t>
  </si>
  <si>
    <t xml:space="preserve">Gmv share pct</t>
  </si>
  <si>
    <t xml:space="preserve">Cumulative share pct</t>
  </si>
  <si>
    <t xml:space="preserve">Delivery</t>
  </si>
  <si>
    <t xml:space="preserve">Share pct</t>
  </si>
  <si>
    <t xml:space="preserve">Low review pct</t>
  </si>
  <si>
    <t xml:space="preserve">1) On time</t>
  </si>
  <si>
    <t xml:space="preserve">2) 1-3 days late</t>
  </si>
  <si>
    <t xml:space="preserve">3) 4-7 days late</t>
  </si>
  <si>
    <t xml:space="preserve">4) 8+ days late</t>
  </si>
  <si>
    <t xml:space="preserve">Seller handoff</t>
  </si>
  <si>
    <t xml:space="preserve">Delivered orders</t>
  </si>
  <si>
    <t xml:space="preserve">Late delivery pct</t>
  </si>
  <si>
    <t xml:space="preserve">Seller shipped on time</t>
  </si>
  <si>
    <t xml:space="preserve">Seller shipped late</t>
  </si>
  <si>
    <t xml:space="preserve">Category</t>
  </si>
  <si>
    <t xml:space="preserve">Avg item price</t>
  </si>
  <si>
    <t xml:space="preserve">Delivered on time pct</t>
  </si>
  <si>
    <t xml:space="preserve">health_beauty</t>
  </si>
  <si>
    <t xml:space="preserve">watches_gifts</t>
  </si>
  <si>
    <t xml:space="preserve">bed_bath_table</t>
  </si>
  <si>
    <t xml:space="preserve">sports_leisure</t>
  </si>
  <si>
    <t xml:space="preserve">computers_accessories</t>
  </si>
  <si>
    <t xml:space="preserve">furniture_decor</t>
  </si>
  <si>
    <t xml:space="preserve">housewares</t>
  </si>
  <si>
    <t xml:space="preserve">cool_stuff</t>
  </si>
  <si>
    <t xml:space="preserve">auto</t>
  </si>
  <si>
    <t xml:space="preserve">garden_tools</t>
  </si>
  <si>
    <t xml:space="preserve">Customer state</t>
  </si>
  <si>
    <t xml:space="preserve">Avg delivery days</t>
  </si>
  <si>
    <t xml:space="preserve">SP</t>
  </si>
  <si>
    <t xml:space="preserve">RJ</t>
  </si>
  <si>
    <t xml:space="preserve">MG</t>
  </si>
  <si>
    <t xml:space="preserve">RS</t>
  </si>
  <si>
    <t xml:space="preserve">PR</t>
  </si>
  <si>
    <t xml:space="preserve">SC</t>
  </si>
  <si>
    <t xml:space="preserve">BA</t>
  </si>
  <si>
    <t xml:space="preserve">DF</t>
  </si>
  <si>
    <t xml:space="preserve">ES</t>
  </si>
  <si>
    <t xml:space="preserve">GO</t>
  </si>
  <si>
    <t xml:space="preserve">Check name</t>
  </si>
  <si>
    <t xml:space="preserve">Failing rows</t>
  </si>
  <si>
    <t xml:space="preserve">Action</t>
  </si>
  <si>
    <t xml:space="preserve">Orders in partial months (outside Jan 2017 - Aug 2018)</t>
  </si>
  <si>
    <t xml:space="preserve">Excluded from monthly trends</t>
  </si>
  <si>
    <t xml:space="preserve">Orders with no items</t>
  </si>
  <si>
    <t xml:space="preserve">Excluded from sales metrics (mostly canceled)</t>
  </si>
  <si>
    <t xml:space="preserve">Orders with no payment record</t>
  </si>
  <si>
    <t xml:space="preserve">Excluded from payment metrics</t>
  </si>
  <si>
    <t xml:space="preserve">Amount paid differs from items + freight</t>
  </si>
  <si>
    <t xml:space="preserve">Kept; sales use item prices, payments use amount paid</t>
  </si>
  <si>
    <t xml:space="preserve">Payment rows: undefined type, R$0 or 0 installments</t>
  </si>
  <si>
    <t xml:space="preserve">Excluded from payment-method metrics</t>
  </si>
  <si>
    <t xml:space="preserve">Extra review rows for the same order</t>
  </si>
  <si>
    <t xml:space="preserve">Keep the latest review per order</t>
  </si>
  <si>
    <t xml:space="preserve">Delivered orders missing delivery date</t>
  </si>
  <si>
    <t xml:space="preserve">Excluded from delivery metrics</t>
  </si>
  <si>
    <t xml:space="preserve">Handed to carrier before payment approved</t>
  </si>
  <si>
    <t xml:space="preserve">Kept; timestamps come from different systems</t>
  </si>
  <si>
    <t xml:space="preserve">Products with no category</t>
  </si>
  <si>
    <t xml:space="preserve">Reported as "unknown"</t>
  </si>
  <si>
    <t xml:space="preserve">Categories missing an English name</t>
  </si>
  <si>
    <t xml:space="preserve">Translated in the clean table</t>
  </si>
  <si>
    <t xml:space="preserve">Seller leads with no origin channel</t>
  </si>
  <si>
    <t xml:space="preserve">Closed deals with no matching lead</t>
  </si>
  <si>
    <t xml:space="preserve">Investigate if &gt; 0</t>
  </si>
  <si>
    <t xml:space="preserve">Deals won before first contact</t>
  </si>
  <si>
    <t xml:space="preserve">Excluded from days-to-close</t>
  </si>
  <si>
    <t xml:space="preserve">Metric</t>
  </si>
  <si>
    <t xml:space="preserve">Definition</t>
  </si>
  <si>
    <t xml:space="preserve">GMV</t>
  </si>
  <si>
    <t xml:space="preserve">Gross merchandise value: item prices of orders that weren't canceled (freight excluded).</t>
  </si>
  <si>
    <t xml:space="preserve">All orders placed in the month, including canceled ones.</t>
  </si>
  <si>
    <t xml:space="preserve">Canceled orders</t>
  </si>
  <si>
    <t xml:space="preserve">Orders with status 'canceled' or 'unavailable'.</t>
  </si>
  <si>
    <t xml:space="preserve">Average order value</t>
  </si>
  <si>
    <t xml:space="preserve">GMV / orders with items that weren't canceled.</t>
  </si>
  <si>
    <t xml:space="preserve">Active seller</t>
  </si>
  <si>
    <t xml:space="preserve">A seller with at least one item sold (not canceled) in the month.</t>
  </si>
  <si>
    <t xml:space="preserve">New seller</t>
  </si>
  <si>
    <t xml:space="preserve">A seller whose first-ever sale falls in the month.</t>
  </si>
  <si>
    <t xml:space="preserve">Seller retention</t>
  </si>
  <si>
    <t xml:space="preserve">Share of last month's active sellers who also sold this month.</t>
  </si>
  <si>
    <t xml:space="preserve">Main payment method</t>
  </si>
  <si>
    <t xml:space="preserve">The method that paid the largest part of the order.</t>
  </si>
  <si>
    <t xml:space="preserve">Hours to approve</t>
  </si>
  <si>
    <t xml:space="preserve">Hours from purchase to payment approval (median).</t>
  </si>
  <si>
    <t xml:space="preserve">Parcel handed to the carrier by the seller's shipping deadline.</t>
  </si>
  <si>
    <t xml:space="preserve">Delivered on time</t>
  </si>
  <si>
    <t xml:space="preserve">Delivered on or before the estimated delivery date shown to the customer.</t>
  </si>
  <si>
    <t xml:space="preserve">Review score</t>
  </si>
  <si>
    <t xml:space="preserve">Customer review (1-5 stars); latest review per order.</t>
  </si>
  <si>
    <t xml:space="preserve">Lead to signed</t>
  </si>
  <si>
    <t xml:space="preserve">Marketing-qualified seller leads that became signed sellers (closed deals).</t>
  </si>
  <si>
    <t xml:space="preserve">Signed with first sale</t>
  </si>
  <si>
    <t xml:space="preserve">Signed sellers (won by 30 Jun 2018) who made at least one sale in the data.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</si>
</sst>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R$&quot;#,##0"/>
    <numFmt numFmtId="166" formatCode="\+0.0%;\-0.0%;0.0%"/>
    <numFmt numFmtId="167" formatCode="#,##0"/>
    <numFmt numFmtId="168" formatCode="&quot;R$&quot;#,##0.00"/>
    <numFmt numFmtId="169" formatCode="0.00\%"/>
    <numFmt numFmtId="170" formatCode="0.0\%"/>
    <numFmt numFmtId="171" formatCode="0.00"/>
    <numFmt numFmtId="172" formatCode="0.0"/>
    <numFmt numFmtId="173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EEF3F9"/>
      </patternFill>
    </fill>
    <fill>
      <patternFill patternType="solid">
        <fgColor rgb="FF1F3A5F"/>
        <bgColor rgb="FF333333"/>
      </patternFill>
    </fill>
    <fill>
      <patternFill patternType="solid">
        <fgColor rgb="FFEEF3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E7B34"/>
      </font>
    </dxf>
    <dxf>
      <font>
        <b val="1"/>
        <color rgb="FFB4231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EF3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6" customFormat="false" ht="30" hidden="false" customHeight="true" outlineLevel="0" collapsed="false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customFormat="false" ht="15" hidden="false" customHeight="false" outlineLevel="0" collapsed="false">
      <c r="B7" s="6" t="s">
        <v>10</v>
      </c>
      <c r="C7" s="7" t="n">
        <f aca="false">INDEX('Monthly Trend'!$D$2:$D$21,MATCH($C$4,'Monthly Trend'!$A$2:$A$21,0))</f>
        <v>848860</v>
      </c>
      <c r="D7" s="7" t="n">
        <f aca="false">IF(MATCH($C$4,'Monthly Trend'!$A$2:$A$21,0)&gt;1,INDEX('Monthly Trend'!$D$2:$D$21,MATCH($C$4,'Monthly Trend'!$A$2:$A$21,0)-1),"")</f>
        <v>878044</v>
      </c>
      <c r="E7" s="8" t="n">
        <f aca="false">IF(D7="","",IFERROR(C7/D7-1,""))</f>
        <v>-0.0332375142931334</v>
      </c>
      <c r="F7" s="7" t="n">
        <f aca="true">IF(MATCH($C$4,'Monthly Trend'!$A$2:$A$21,0)&gt;6,AVERAGE(OFFSET('Monthly Trend'!$D$2,MATCH($C$4,'Monthly Trend'!$A$2:$A$21,0)-7,0,6,1)),"")</f>
        <v>924453.5</v>
      </c>
      <c r="G7" s="8" t="n">
        <f aca="false">IF(F7="","",IFERROR(C7/F7-1,""))</f>
        <v>-0.0817710139017268</v>
      </c>
    </row>
    <row r="8" customFormat="false" ht="15" hidden="false" customHeight="false" outlineLevel="0" collapsed="false">
      <c r="B8" s="6" t="s">
        <v>11</v>
      </c>
      <c r="C8" s="9" t="n">
        <f aca="false">INDEX('Monthly Trend'!$B$2:$B$21,MATCH($C$4,'Monthly Trend'!$A$2:$A$21,0))</f>
        <v>6512</v>
      </c>
      <c r="D8" s="9" t="n">
        <f aca="false">IF(MATCH($C$4,'Monthly Trend'!$A$2:$A$21,0)&gt;1,INDEX('Monthly Trend'!$B$2:$B$21,MATCH($C$4,'Monthly Trend'!$A$2:$A$21,0)-1),"")</f>
        <v>6292</v>
      </c>
      <c r="E8" s="8" t="n">
        <f aca="false">IF(D8="","",IFERROR(C8/D8-1,""))</f>
        <v>0.034965034965035</v>
      </c>
      <c r="F8" s="9" t="n">
        <f aca="true">IF(MATCH($C$4,'Monthly Trend'!$A$2:$A$21,0)&gt;6,AVERAGE(OFFSET('Monthly Trend'!$B$2,MATCH($C$4,'Monthly Trend'!$A$2:$A$21,0)-7,0,6,1)),"")</f>
        <v>6701.66666666667</v>
      </c>
      <c r="G8" s="8" t="n">
        <f aca="false">IF(F8="","",IFERROR(C8/F8-1,""))</f>
        <v>-0.0283014175578215</v>
      </c>
    </row>
    <row r="9" customFormat="false" ht="15" hidden="false" customHeight="false" outlineLevel="0" collapsed="false">
      <c r="B9" s="6" t="s">
        <v>12</v>
      </c>
      <c r="C9" s="10" t="n">
        <f aca="false">INDEX('Monthly Trend'!$F$2:$F$21,MATCH($C$4,'Monthly Trend'!$A$2:$A$21,0))</f>
        <v>132.2</v>
      </c>
      <c r="D9" s="10" t="n">
        <f aca="false">IF(MATCH($C$4,'Monthly Trend'!$A$2:$A$21,0)&gt;1,INDEX('Monthly Trend'!$F$2:$F$21,MATCH($C$4,'Monthly Trend'!$A$2:$A$21,0)-1),"")</f>
        <v>140.87</v>
      </c>
      <c r="E9" s="8" t="n">
        <f aca="false">IF(D9="","",IFERROR(C9/D9-1,""))</f>
        <v>-0.0615461063391781</v>
      </c>
      <c r="F9" s="10" t="n">
        <f aca="true">IF(MATCH($C$4,'Monthly Trend'!$A$2:$A$21,0)&gt;6,AVERAGE(OFFSET('Monthly Trend'!$F$2,MATCH($C$4,'Monthly Trend'!$A$2:$A$21,0)-7,0,6,1)),"")</f>
        <v>138.936666666667</v>
      </c>
      <c r="G9" s="8" t="n">
        <f aca="false">IF(F9="","",IFERROR(C9/F9-1,""))</f>
        <v>-0.0484873203617956</v>
      </c>
    </row>
    <row r="10" customFormat="false" ht="15" hidden="false" customHeight="false" outlineLevel="0" collapsed="false">
      <c r="B10" s="6" t="s">
        <v>13</v>
      </c>
      <c r="C10" s="11" t="n">
        <f aca="false">INDEX('Monthly Trend'!$C$2:$C$21,MATCH($C$4,'Monthly Trend'!$A$2:$A$21,0))</f>
        <v>1.4</v>
      </c>
      <c r="D10" s="11" t="n">
        <f aca="false">IF(MATCH($C$4,'Monthly Trend'!$A$2:$A$21,0)&gt;1,INDEX('Monthly Trend'!$C$2:$C$21,MATCH($C$4,'Monthly Trend'!$A$2:$A$21,0)-1),"")</f>
        <v>0.94</v>
      </c>
      <c r="E10" s="8" t="n">
        <f aca="false">IF(D10="","",IFERROR(C10/D10-1,""))</f>
        <v>0.48936170212766</v>
      </c>
      <c r="F10" s="11" t="n">
        <f aca="true">IF(MATCH($C$4,'Monthly Trend'!$A$2:$A$21,0)&gt;6,AVERAGE(OFFSET('Monthly Trend'!$C$2,MATCH($C$4,'Monthly Trend'!$A$2:$A$21,0)-7,0,6,1)),"")</f>
        <v>0.716666666666667</v>
      </c>
      <c r="G10" s="8" t="n">
        <f aca="false">IF(F10="","",IFERROR(C10/F10-1,""))</f>
        <v>0.953488372093023</v>
      </c>
    </row>
    <row r="11" customFormat="false" ht="15" hidden="false" customHeight="false" outlineLevel="0" collapsed="false">
      <c r="B11" s="6" t="s">
        <v>14</v>
      </c>
      <c r="C11" s="9" t="n">
        <f aca="false">INDEX('Monthly Trend'!$G$2:$G$21,MATCH($C$4,'Monthly Trend'!$A$2:$A$21,0))</f>
        <v>1266</v>
      </c>
      <c r="D11" s="9" t="n">
        <f aca="false">IF(MATCH($C$4,'Monthly Trend'!$A$2:$A$21,0)&gt;1,INDEX('Monthly Trend'!$G$2:$G$21,MATCH($C$4,'Monthly Trend'!$A$2:$A$21,0)-1),"")</f>
        <v>1245</v>
      </c>
      <c r="E11" s="8" t="n">
        <f aca="false">IF(D11="","",IFERROR(C11/D11-1,""))</f>
        <v>0.0168674698795182</v>
      </c>
      <c r="F11" s="9" t="n">
        <f aca="true">IF(MATCH($C$4,'Monthly Trend'!$A$2:$A$21,0)&gt;6,AVERAGE(OFFSET('Monthly Trend'!$G$2,MATCH($C$4,'Monthly Trend'!$A$2:$A$21,0)-7,0,6,1)),"")</f>
        <v>1093.66666666667</v>
      </c>
      <c r="G11" s="8" t="n">
        <f aca="false">IF(F11="","",IFERROR(C11/F11-1,""))</f>
        <v>0.157573910393173</v>
      </c>
    </row>
    <row r="12" customFormat="false" ht="15" hidden="false" customHeight="false" outlineLevel="0" collapsed="false">
      <c r="B12" s="6" t="s">
        <v>15</v>
      </c>
      <c r="C12" s="9" t="n">
        <f aca="false">INDEX('Monthly Trend'!$H$2:$H$21,MATCH($C$4,'Monthly Trend'!$A$2:$A$21,0))</f>
        <v>155</v>
      </c>
      <c r="D12" s="9" t="n">
        <f aca="false">IF(MATCH($C$4,'Monthly Trend'!$A$2:$A$21,0)&gt;1,INDEX('Monthly Trend'!$H$2:$H$21,MATCH($C$4,'Monthly Trend'!$A$2:$A$21,0)-1),"")</f>
        <v>190</v>
      </c>
      <c r="E12" s="8" t="n">
        <f aca="false">IF(D12="","",IFERROR(C12/D12-1,""))</f>
        <v>-0.18421052631579</v>
      </c>
      <c r="F12" s="9" t="n">
        <f aca="true">IF(MATCH($C$4,'Monthly Trend'!$A$2:$A$21,0)&gt;6,AVERAGE(OFFSET('Monthly Trend'!$H$2,MATCH($C$4,'Monthly Trend'!$A$2:$A$21,0)-7,0,6,1)),"")</f>
        <v>164.666666666667</v>
      </c>
      <c r="G12" s="8" t="n">
        <f aca="false">IF(F12="","",IFERROR(C12/F12-1,""))</f>
        <v>-0.0587044534412955</v>
      </c>
    </row>
    <row r="13" customFormat="false" ht="15" hidden="false" customHeight="false" outlineLevel="0" collapsed="false">
      <c r="B13" s="6" t="s">
        <v>16</v>
      </c>
      <c r="C13" s="12" t="n">
        <f aca="false">INDEX('Monthly Trend'!$I$2:$I$21,MATCH($C$4,'Monthly Trend'!$A$2:$A$21,0))</f>
        <v>72.5</v>
      </c>
      <c r="D13" s="12" t="n">
        <f aca="false">IF(MATCH($C$4,'Monthly Trend'!$A$2:$A$21,0)&gt;1,INDEX('Monthly Trend'!$I$2:$I$21,MATCH($C$4,'Monthly Trend'!$A$2:$A$21,0)-1),"")</f>
        <v>73.1</v>
      </c>
      <c r="E13" s="8" t="n">
        <f aca="false">IF(D13="","",IFERROR(C13/D13-1,""))</f>
        <v>-0.00820793433652522</v>
      </c>
      <c r="F13" s="12" t="n">
        <f aca="true">IF(MATCH($C$4,'Monthly Trend'!$A$2:$A$21,0)&gt;6,AVERAGE(OFFSET('Monthly Trend'!$I$2,MATCH($C$4,'Monthly Trend'!$A$2:$A$21,0)-7,0,6,1)),"")</f>
        <v>74.3833333333333</v>
      </c>
      <c r="G13" s="8" t="n">
        <f aca="false">IF(F13="","",IFERROR(C13/F13-1,""))</f>
        <v>-0.0253192919560834</v>
      </c>
    </row>
    <row r="14" customFormat="false" ht="15" hidden="false" customHeight="false" outlineLevel="0" collapsed="false">
      <c r="B14" s="6" t="s">
        <v>17</v>
      </c>
      <c r="C14" s="7" t="n">
        <f aca="false">INDEX('Monthly Trend'!$J$2:$J$21,MATCH($C$4,'Monthly Trend'!$A$2:$A$21,0))</f>
        <v>671</v>
      </c>
      <c r="D14" s="7" t="n">
        <f aca="false">IF(MATCH($C$4,'Monthly Trend'!$A$2:$A$21,0)&gt;1,INDEX('Monthly Trend'!$J$2:$J$21,MATCH($C$4,'Monthly Trend'!$A$2:$A$21,0)-1),"")</f>
        <v>705</v>
      </c>
      <c r="E14" s="8" t="n">
        <f aca="false">IF(D14="","",IFERROR(C14/D14-1,""))</f>
        <v>-0.0482269503546099</v>
      </c>
      <c r="F14" s="7" t="n">
        <f aca="true">IF(MATCH($C$4,'Monthly Trend'!$A$2:$A$21,0)&gt;6,AVERAGE(OFFSET('Monthly Trend'!$J$2,MATCH($C$4,'Monthly Trend'!$A$2:$A$21,0)-7,0,6,1)),"")</f>
        <v>852.833333333333</v>
      </c>
      <c r="G14" s="8" t="n">
        <f aca="false">IF(F14="","",IFERROR(C14/F14-1,""))</f>
        <v>-0.213210865741646</v>
      </c>
    </row>
    <row r="15" customFormat="false" ht="15" hidden="false" customHeight="false" outlineLevel="0" collapsed="false">
      <c r="B15" s="6" t="s">
        <v>18</v>
      </c>
      <c r="C15" s="12" t="n">
        <f aca="false">INDEX('Monthly Trend'!$K$2:$K$21,MATCH($C$4,'Monthly Trend'!$A$2:$A$21,0))</f>
        <v>79.4</v>
      </c>
      <c r="D15" s="12" t="n">
        <f aca="false">IF(MATCH($C$4,'Monthly Trend'!$A$2:$A$21,0)&gt;1,INDEX('Monthly Trend'!$K$2:$K$21,MATCH($C$4,'Monthly Trend'!$A$2:$A$21,0)-1),"")</f>
        <v>75.5</v>
      </c>
      <c r="E15" s="8" t="n">
        <f aca="false">IF(D15="","",IFERROR(C15/D15-1,""))</f>
        <v>0.0516556291390728</v>
      </c>
      <c r="F15" s="12" t="n">
        <f aca="true">IF(MATCH($C$4,'Monthly Trend'!$A$2:$A$21,0)&gt;6,AVERAGE(OFFSET('Monthly Trend'!$K$2,MATCH($C$4,'Monthly Trend'!$A$2:$A$21,0)-7,0,6,1)),"")</f>
        <v>79.1</v>
      </c>
      <c r="G15" s="8" t="n">
        <f aca="false">IF(F15="","",IFERROR(C15/F15-1,""))</f>
        <v>0.00379266750948171</v>
      </c>
    </row>
    <row r="16" customFormat="false" ht="15" hidden="false" customHeight="false" outlineLevel="0" collapsed="false">
      <c r="B16" s="6" t="s">
        <v>19</v>
      </c>
      <c r="C16" s="13" t="n">
        <f aca="false">INDEX('Monthly Trend'!$L$2:$L$21,MATCH($C$4,'Monthly Trend'!$A$2:$A$21,0))</f>
        <v>3.36</v>
      </c>
      <c r="D16" s="13" t="n">
        <f aca="false">IF(MATCH($C$4,'Monthly Trend'!$A$2:$A$21,0)&gt;1,INDEX('Monthly Trend'!$L$2:$L$21,MATCH($C$4,'Monthly Trend'!$A$2:$A$21,0)-1),"")</f>
        <v>3.37</v>
      </c>
      <c r="E16" s="8" t="n">
        <f aca="false">IF(D16="","",IFERROR(C16/D16-1,""))</f>
        <v>-0.00296735905044521</v>
      </c>
      <c r="F16" s="13" t="n">
        <f aca="true">IF(MATCH($C$4,'Monthly Trend'!$A$2:$A$21,0)&gt;6,AVERAGE(OFFSET('Monthly Trend'!$L$2,MATCH($C$4,'Monthly Trend'!$A$2:$A$21,0)-7,0,6,1)),"")</f>
        <v>3.35166666666667</v>
      </c>
      <c r="G16" s="8" t="n">
        <f aca="false">IF(F16="","",IFERROR(C16/F16-1,""))</f>
        <v>0.00248632521133763</v>
      </c>
    </row>
    <row r="17" customFormat="false" ht="15" hidden="false" customHeight="false" outlineLevel="0" collapsed="false">
      <c r="B17" s="6" t="s">
        <v>20</v>
      </c>
      <c r="C17" s="12" t="n">
        <f aca="false">INDEX('Monthly Trend'!$M$2:$M$21,MATCH($C$4,'Monthly Trend'!$A$2:$A$21,0))</f>
        <v>90.8</v>
      </c>
      <c r="D17" s="12" t="n">
        <f aca="false">IF(MATCH($C$4,'Monthly Trend'!$A$2:$A$21,0)&gt;1,INDEX('Monthly Trend'!$M$2:$M$21,MATCH($C$4,'Monthly Trend'!$A$2:$A$21,0)-1),"")</f>
        <v>91.1</v>
      </c>
      <c r="E17" s="8" t="n">
        <f aca="false">IF(D17="","",IFERROR(C17/D17-1,""))</f>
        <v>-0.00329308452250277</v>
      </c>
      <c r="F17" s="12" t="n">
        <f aca="true">IF(MATCH($C$4,'Monthly Trend'!$A$2:$A$21,0)&gt;6,AVERAGE(OFFSET('Monthly Trend'!$M$2,MATCH($C$4,'Monthly Trend'!$A$2:$A$21,0)-7,0,6,1)),"")</f>
        <v>91.8166666666667</v>
      </c>
      <c r="G17" s="8" t="n">
        <f aca="false">IF(F17="","",IFERROR(C17/F17-1,""))</f>
        <v>-0.0110727899800327</v>
      </c>
    </row>
    <row r="18" customFormat="false" ht="15" hidden="false" customHeight="false" outlineLevel="0" collapsed="false">
      <c r="B18" s="6" t="s">
        <v>21</v>
      </c>
      <c r="C18" s="12" t="n">
        <f aca="false">INDEX('Monthly Trend'!$N$2:$N$21,MATCH($C$4,'Monthly Trend'!$A$2:$A$21,0))</f>
        <v>93.8</v>
      </c>
      <c r="D18" s="12" t="n">
        <f aca="false">IF(MATCH($C$4,'Monthly Trend'!$A$2:$A$21,0)&gt;1,INDEX('Monthly Trend'!$N$2:$N$21,MATCH($C$4,'Monthly Trend'!$A$2:$A$21,0)-1),"")</f>
        <v>96.6</v>
      </c>
      <c r="E18" s="8" t="n">
        <f aca="false">IF(D18="","",IFERROR(C18/D18-1,""))</f>
        <v>-0.0289855072463768</v>
      </c>
      <c r="F18" s="12" t="n">
        <f aca="true">IF(MATCH($C$4,'Monthly Trend'!$A$2:$A$21,0)&gt;6,AVERAGE(OFFSET('Monthly Trend'!$N$2,MATCH($C$4,'Monthly Trend'!$A$2:$A$21,0)-7,0,6,1)),"")</f>
        <v>91.8666666666667</v>
      </c>
      <c r="G18" s="8" t="n">
        <f aca="false">IF(F18="","",IFERROR(C18/F18-1,""))</f>
        <v>0.0210449927431058</v>
      </c>
    </row>
    <row r="19" customFormat="false" ht="15" hidden="false" customHeight="false" outlineLevel="0" collapsed="false">
      <c r="B19" s="6" t="s">
        <v>22</v>
      </c>
      <c r="C19" s="14" t="n">
        <f aca="false">INDEX('Monthly Trend'!$O$2:$O$21,MATCH($C$4,'Monthly Trend'!$A$2:$A$21,0))</f>
        <v>7.7</v>
      </c>
      <c r="D19" s="14" t="n">
        <f aca="false">IF(MATCH($C$4,'Monthly Trend'!$A$2:$A$21,0)&gt;1,INDEX('Monthly Trend'!$O$2:$O$21,MATCH($C$4,'Monthly Trend'!$A$2:$A$21,0)-1),"")</f>
        <v>9</v>
      </c>
      <c r="E19" s="8" t="n">
        <f aca="false">IF(D19="","",IFERROR(C19/D19-1,""))</f>
        <v>-0.144444444444444</v>
      </c>
      <c r="F19" s="14" t="n">
        <f aca="true">IF(MATCH($C$4,'Monthly Trend'!$A$2:$A$21,0)&gt;6,AVERAGE(OFFSET('Monthly Trend'!$O$2,MATCH($C$4,'Monthly Trend'!$A$2:$A$21,0)-7,0,6,1)),"")</f>
        <v>12.3833333333333</v>
      </c>
      <c r="G19" s="8" t="n">
        <f aca="false">IF(F19="","",IFERROR(C19/F19-1,""))</f>
        <v>-0.378196500672948</v>
      </c>
    </row>
    <row r="20" customFormat="false" ht="15" hidden="false" customHeight="false" outlineLevel="0" collapsed="false">
      <c r="B20" s="6" t="s">
        <v>23</v>
      </c>
      <c r="C20" s="13" t="n">
        <f aca="false">INDEX('Monthly Trend'!$P$2:$P$21,MATCH($C$4,'Monthly Trend'!$A$2:$A$21,0))</f>
        <v>4.26</v>
      </c>
      <c r="D20" s="13" t="n">
        <f aca="false">IF(MATCH($C$4,'Monthly Trend'!$A$2:$A$21,0)&gt;1,INDEX('Monthly Trend'!$P$2:$P$21,MATCH($C$4,'Monthly Trend'!$A$2:$A$21,0)-1),"")</f>
        <v>4.26</v>
      </c>
      <c r="E20" s="8" t="n">
        <f aca="false">IF(D20="","",IFERROR(C20/D20-1,""))</f>
        <v>0</v>
      </c>
      <c r="F20" s="13" t="n">
        <f aca="true">IF(MATCH($C$4,'Monthly Trend'!$A$2:$A$21,0)&gt;6,AVERAGE(OFFSET('Monthly Trend'!$P$2,MATCH($C$4,'Monthly Trend'!$A$2:$A$21,0)-7,0,6,1)),"")</f>
        <v>4.07833333333333</v>
      </c>
      <c r="G20" s="8" t="n">
        <f aca="false">IF(F20="","",IFERROR(C20/F20-1,""))</f>
        <v>0.0445443400081733</v>
      </c>
    </row>
    <row r="21" customFormat="false" ht="15" hidden="false" customHeight="false" outlineLevel="0" collapsed="false">
      <c r="B21" s="6" t="s">
        <v>24</v>
      </c>
      <c r="C21" s="12" t="n">
        <f aca="false">INDEX('Monthly Trend'!$Q$2:$Q$21,MATCH($C$4,'Monthly Trend'!$A$2:$A$21,0))</f>
        <v>10.9</v>
      </c>
      <c r="D21" s="12" t="n">
        <f aca="false">IF(MATCH($C$4,'Monthly Trend'!$A$2:$A$21,0)&gt;1,INDEX('Monthly Trend'!$Q$2:$Q$21,MATCH($C$4,'Monthly Trend'!$A$2:$A$21,0)-1),"")</f>
        <v>11.1</v>
      </c>
      <c r="E21" s="8" t="n">
        <f aca="false">IF(D21="","",IFERROR(C21/D21-1,""))</f>
        <v>-0.0180180180180179</v>
      </c>
      <c r="F21" s="12" t="n">
        <f aca="true">IF(MATCH($C$4,'Monthly Trend'!$A$2:$A$21,0)&gt;6,AVERAGE(OFFSET('Monthly Trend'!$Q$2,MATCH($C$4,'Monthly Trend'!$A$2:$A$21,0)-7,0,6,1)),"")</f>
        <v>15.0833333333333</v>
      </c>
      <c r="G21" s="8" t="n">
        <f aca="false">IF(F21="","",IFERROR(C21/F21-1,""))</f>
        <v>-0.277348066298343</v>
      </c>
    </row>
    <row r="23" customFormat="false" ht="15" hidden="false" customHeight="false" outlineLevel="0" collapsed="false">
      <c r="B23" s="2" t="s">
        <v>25</v>
      </c>
    </row>
  </sheetData>
  <conditionalFormatting sqref="E7">
    <cfRule type="cellIs" priority="2" operator="greaterThan" aboveAverage="0" equalAverage="0" bottom="0" percent="0" rank="0" text="" dxfId="0">
      <formula>0.0001</formula>
    </cfRule>
    <cfRule type="cellIs" priority="3" operator="lessThan" aboveAverage="0" equalAverage="0" bottom="0" percent="0" rank="0" text="" dxfId="1">
      <formula>-0.0001</formula>
    </cfRule>
  </conditionalFormatting>
  <conditionalFormatting sqref="G7">
    <cfRule type="cellIs" priority="4" operator="greaterThan" aboveAverage="0" equalAverage="0" bottom="0" percent="0" rank="0" text="" dxfId="0">
      <formula>0.0001</formula>
    </cfRule>
    <cfRule type="cellIs" priority="5" operator="lessThan" aboveAverage="0" equalAverage="0" bottom="0" percent="0" rank="0" text="" dxfId="1">
      <formula>-0.0001</formula>
    </cfRule>
  </conditionalFormatting>
  <conditionalFormatting sqref="E8">
    <cfRule type="cellIs" priority="6" operator="greaterThan" aboveAverage="0" equalAverage="0" bottom="0" percent="0" rank="0" text="" dxfId="0">
      <formula>0.0001</formula>
    </cfRule>
    <cfRule type="cellIs" priority="7" operator="lessThan" aboveAverage="0" equalAverage="0" bottom="0" percent="0" rank="0" text="" dxfId="1">
      <formula>-0.0001</formula>
    </cfRule>
  </conditionalFormatting>
  <conditionalFormatting sqref="G8">
    <cfRule type="cellIs" priority="8" operator="greaterThan" aboveAverage="0" equalAverage="0" bottom="0" percent="0" rank="0" text="" dxfId="0">
      <formula>0.0001</formula>
    </cfRule>
    <cfRule type="cellIs" priority="9" operator="lessThan" aboveAverage="0" equalAverage="0" bottom="0" percent="0" rank="0" text="" dxfId="1">
      <formula>-0.0001</formula>
    </cfRule>
  </conditionalFormatting>
  <conditionalFormatting sqref="E9">
    <cfRule type="cellIs" priority="10" operator="greaterThan" aboveAverage="0" equalAverage="0" bottom="0" percent="0" rank="0" text="" dxfId="0">
      <formula>0.0001</formula>
    </cfRule>
    <cfRule type="cellIs" priority="11" operator="lessThan" aboveAverage="0" equalAverage="0" bottom="0" percent="0" rank="0" text="" dxfId="1">
      <formula>-0.0001</formula>
    </cfRule>
  </conditionalFormatting>
  <conditionalFormatting sqref="G9">
    <cfRule type="cellIs" priority="12" operator="greaterThan" aboveAverage="0" equalAverage="0" bottom="0" percent="0" rank="0" text="" dxfId="0">
      <formula>0.0001</formula>
    </cfRule>
    <cfRule type="cellIs" priority="13" operator="lessThan" aboveAverage="0" equalAverage="0" bottom="0" percent="0" rank="0" text="" dxfId="1">
      <formula>-0.0001</formula>
    </cfRule>
  </conditionalFormatting>
  <conditionalFormatting sqref="E10">
    <cfRule type="cellIs" priority="14" operator="lessThan" aboveAverage="0" equalAverage="0" bottom="0" percent="0" rank="0" text="" dxfId="0">
      <formula>-0.0001</formula>
    </cfRule>
    <cfRule type="cellIs" priority="15" operator="greaterThan" aboveAverage="0" equalAverage="0" bottom="0" percent="0" rank="0" text="" dxfId="1">
      <formula>0.0001</formula>
    </cfRule>
  </conditionalFormatting>
  <conditionalFormatting sqref="G10">
    <cfRule type="cellIs" priority="16" operator="lessThan" aboveAverage="0" equalAverage="0" bottom="0" percent="0" rank="0" text="" dxfId="0">
      <formula>-0.0001</formula>
    </cfRule>
    <cfRule type="cellIs" priority="17" operator="greaterThan" aboveAverage="0" equalAverage="0" bottom="0" percent="0" rank="0" text="" dxfId="1">
      <formula>0.0001</formula>
    </cfRule>
  </conditionalFormatting>
  <conditionalFormatting sqref="E11">
    <cfRule type="cellIs" priority="18" operator="greaterThan" aboveAverage="0" equalAverage="0" bottom="0" percent="0" rank="0" text="" dxfId="0">
      <formula>0.0001</formula>
    </cfRule>
    <cfRule type="cellIs" priority="19" operator="lessThan" aboveAverage="0" equalAverage="0" bottom="0" percent="0" rank="0" text="" dxfId="1">
      <formula>-0.0001</formula>
    </cfRule>
  </conditionalFormatting>
  <conditionalFormatting sqref="G11">
    <cfRule type="cellIs" priority="20" operator="greaterThan" aboveAverage="0" equalAverage="0" bottom="0" percent="0" rank="0" text="" dxfId="0">
      <formula>0.0001</formula>
    </cfRule>
    <cfRule type="cellIs" priority="21" operator="lessThan" aboveAverage="0" equalAverage="0" bottom="0" percent="0" rank="0" text="" dxfId="1">
      <formula>-0.0001</formula>
    </cfRule>
  </conditionalFormatting>
  <conditionalFormatting sqref="E12">
    <cfRule type="cellIs" priority="22" operator="greaterThan" aboveAverage="0" equalAverage="0" bottom="0" percent="0" rank="0" text="" dxfId="0">
      <formula>0.0001</formula>
    </cfRule>
    <cfRule type="cellIs" priority="23" operator="lessThan" aboveAverage="0" equalAverage="0" bottom="0" percent="0" rank="0" text="" dxfId="1">
      <formula>-0.0001</formula>
    </cfRule>
  </conditionalFormatting>
  <conditionalFormatting sqref="G12">
    <cfRule type="cellIs" priority="24" operator="greaterThan" aboveAverage="0" equalAverage="0" bottom="0" percent="0" rank="0" text="" dxfId="0">
      <formula>0.0001</formula>
    </cfRule>
    <cfRule type="cellIs" priority="25" operator="lessThan" aboveAverage="0" equalAverage="0" bottom="0" percent="0" rank="0" text="" dxfId="1">
      <formula>-0.0001</formula>
    </cfRule>
  </conditionalFormatting>
  <conditionalFormatting sqref="E13">
    <cfRule type="cellIs" priority="26" operator="greaterThan" aboveAverage="0" equalAverage="0" bottom="0" percent="0" rank="0" text="" dxfId="0">
      <formula>0.0001</formula>
    </cfRule>
    <cfRule type="cellIs" priority="27" operator="lessThan" aboveAverage="0" equalAverage="0" bottom="0" percent="0" rank="0" text="" dxfId="1">
      <formula>-0.0001</formula>
    </cfRule>
  </conditionalFormatting>
  <conditionalFormatting sqref="G13">
    <cfRule type="cellIs" priority="28" operator="greaterThan" aboveAverage="0" equalAverage="0" bottom="0" percent="0" rank="0" text="" dxfId="0">
      <formula>0.0001</formula>
    </cfRule>
    <cfRule type="cellIs" priority="29" operator="lessThan" aboveAverage="0" equalAverage="0" bottom="0" percent="0" rank="0" text="" dxfId="1">
      <formula>-0.0001</formula>
    </cfRule>
  </conditionalFormatting>
  <conditionalFormatting sqref="E14">
    <cfRule type="cellIs" priority="30" operator="greaterThan" aboveAverage="0" equalAverage="0" bottom="0" percent="0" rank="0" text="" dxfId="0">
      <formula>0.0001</formula>
    </cfRule>
    <cfRule type="cellIs" priority="31" operator="lessThan" aboveAverage="0" equalAverage="0" bottom="0" percent="0" rank="0" text="" dxfId="1">
      <formula>-0.0001</formula>
    </cfRule>
  </conditionalFormatting>
  <conditionalFormatting sqref="G14">
    <cfRule type="cellIs" priority="32" operator="greaterThan" aboveAverage="0" equalAverage="0" bottom="0" percent="0" rank="0" text="" dxfId="0">
      <formula>0.0001</formula>
    </cfRule>
    <cfRule type="cellIs" priority="33" operator="lessThan" aboveAverage="0" equalAverage="0" bottom="0" percent="0" rank="0" text="" dxfId="1">
      <formula>-0.0001</formula>
    </cfRule>
  </conditionalFormatting>
  <conditionalFormatting sqref="E17">
    <cfRule type="cellIs" priority="34" operator="greaterThan" aboveAverage="0" equalAverage="0" bottom="0" percent="0" rank="0" text="" dxfId="0">
      <formula>0.0001</formula>
    </cfRule>
    <cfRule type="cellIs" priority="35" operator="lessThan" aboveAverage="0" equalAverage="0" bottom="0" percent="0" rank="0" text="" dxfId="1">
      <formula>-0.0001</formula>
    </cfRule>
  </conditionalFormatting>
  <conditionalFormatting sqref="G17">
    <cfRule type="cellIs" priority="36" operator="greaterThan" aboveAverage="0" equalAverage="0" bottom="0" percent="0" rank="0" text="" dxfId="0">
      <formula>0.0001</formula>
    </cfRule>
    <cfRule type="cellIs" priority="37" operator="lessThan" aboveAverage="0" equalAverage="0" bottom="0" percent="0" rank="0" text="" dxfId="1">
      <formula>-0.0001</formula>
    </cfRule>
  </conditionalFormatting>
  <conditionalFormatting sqref="E18">
    <cfRule type="cellIs" priority="38" operator="greaterThan" aboveAverage="0" equalAverage="0" bottom="0" percent="0" rank="0" text="" dxfId="0">
      <formula>0.0001</formula>
    </cfRule>
    <cfRule type="cellIs" priority="39" operator="lessThan" aboveAverage="0" equalAverage="0" bottom="0" percent="0" rank="0" text="" dxfId="1">
      <formula>-0.0001</formula>
    </cfRule>
  </conditionalFormatting>
  <conditionalFormatting sqref="G18">
    <cfRule type="cellIs" priority="40" operator="greaterThan" aboveAverage="0" equalAverage="0" bottom="0" percent="0" rank="0" text="" dxfId="0">
      <formula>0.0001</formula>
    </cfRule>
    <cfRule type="cellIs" priority="41" operator="lessThan" aboveAverage="0" equalAverage="0" bottom="0" percent="0" rank="0" text="" dxfId="1">
      <formula>-0.0001</formula>
    </cfRule>
  </conditionalFormatting>
  <conditionalFormatting sqref="E19">
    <cfRule type="cellIs" priority="42" operator="lessThan" aboveAverage="0" equalAverage="0" bottom="0" percent="0" rank="0" text="" dxfId="0">
      <formula>-0.0001</formula>
    </cfRule>
    <cfRule type="cellIs" priority="43" operator="greaterThan" aboveAverage="0" equalAverage="0" bottom="0" percent="0" rank="0" text="" dxfId="1">
      <formula>0.0001</formula>
    </cfRule>
  </conditionalFormatting>
  <conditionalFormatting sqref="G19">
    <cfRule type="cellIs" priority="44" operator="lessThan" aboveAverage="0" equalAverage="0" bottom="0" percent="0" rank="0" text="" dxfId="0">
      <formula>-0.0001</formula>
    </cfRule>
    <cfRule type="cellIs" priority="45" operator="greaterThan" aboveAverage="0" equalAverage="0" bottom="0" percent="0" rank="0" text="" dxfId="1">
      <formula>0.0001</formula>
    </cfRule>
  </conditionalFormatting>
  <conditionalFormatting sqref="E20">
    <cfRule type="cellIs" priority="46" operator="greaterThan" aboveAverage="0" equalAverage="0" bottom="0" percent="0" rank="0" text="" dxfId="0">
      <formula>0.0001</formula>
    </cfRule>
    <cfRule type="cellIs" priority="47" operator="lessThan" aboveAverage="0" equalAverage="0" bottom="0" percent="0" rank="0" text="" dxfId="1">
      <formula>-0.0001</formula>
    </cfRule>
  </conditionalFormatting>
  <conditionalFormatting sqref="G20">
    <cfRule type="cellIs" priority="48" operator="greaterThan" aboveAverage="0" equalAverage="0" bottom="0" percent="0" rank="0" text="" dxfId="0">
      <formula>0.0001</formula>
    </cfRule>
    <cfRule type="cellIs" priority="49" operator="lessThan" aboveAverage="0" equalAverage="0" bottom="0" percent="0" rank="0" text="" dxfId="1">
      <formula>-0.0001</formula>
    </cfRule>
  </conditionalFormatting>
  <conditionalFormatting sqref="E21">
    <cfRule type="cellIs" priority="50" operator="lessThan" aboveAverage="0" equalAverage="0" bottom="0" percent="0" rank="0" text="" dxfId="0">
      <formula>-0.0001</formula>
    </cfRule>
    <cfRule type="cellIs" priority="51" operator="greaterThan" aboveAverage="0" equalAverage="0" bottom="0" percent="0" rank="0" text="" dxfId="1">
      <formula>0.0001</formula>
    </cfRule>
  </conditionalFormatting>
  <conditionalFormatting sqref="G21">
    <cfRule type="cellIs" priority="52" operator="lessThan" aboveAverage="0" equalAverage="0" bottom="0" percent="0" rank="0" text="" dxfId="0">
      <formula>-0.0001</formula>
    </cfRule>
    <cfRule type="cellIs" priority="53" operator="greaterThan" aboveAverage="0" equalAverage="0" bottom="0" percent="0" rank="0" text="" dxfId="1">
      <formula>0.0001</formula>
    </cfRule>
  </conditionalFormatting>
  <dataValidations count="1">
    <dataValidation allowBlank="false" errorStyle="stop" operator="between" showDropDown="false" showErrorMessage="false" showInputMessage="false" sqref="C4" type="list">
      <formula1>'Monthly Trend'!$A$2:$A$21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.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9.2"/>
    <col collapsed="false" customWidth="true" hidden="false" outlineLevel="0" max="7" min="7" style="0" width="11.2"/>
    <col collapsed="false" customWidth="true" hidden="false" outlineLevel="0" max="8" min="8" style="0" width="19.2"/>
    <col collapsed="false" customWidth="true" hidden="false" outlineLevel="0" max="9" min="9" style="0" width="29.6"/>
    <col collapsed="false" customWidth="true" hidden="false" outlineLevel="0" max="10" min="10" style="0" width="20.8"/>
    <col collapsed="false" customWidth="true" hidden="false" outlineLevel="0" max="11" min="11" style="0" width="25.6"/>
    <col collapsed="false" customWidth="true" hidden="false" outlineLevel="0" max="12" min="12" style="0" width="20"/>
    <col collapsed="false" customWidth="true" hidden="false" outlineLevel="0" max="13" min="13" style="0" width="19.2"/>
    <col collapsed="false" customWidth="true" hidden="false" outlineLevel="0" max="14" min="14" style="0" width="15.2"/>
    <col collapsed="false" customWidth="true" hidden="false" outlineLevel="0" max="15" min="15" style="0" width="16.8"/>
    <col collapsed="false" customWidth="true" hidden="false" outlineLevel="0" max="16" min="16" style="0" width="20.8"/>
    <col collapsed="false" customWidth="true" hidden="false" outlineLevel="0" max="17" min="17" style="0" width="14.4"/>
  </cols>
  <sheetData>
    <row r="1" customFormat="false" ht="31.5" hidden="false" customHeight="true" outlineLevel="0" collapsed="false">
      <c r="A1" s="15" t="s">
        <v>26</v>
      </c>
      <c r="B1" s="15" t="s">
        <v>11</v>
      </c>
      <c r="C1" s="15" t="s">
        <v>13</v>
      </c>
      <c r="D1" s="15" t="s">
        <v>10</v>
      </c>
      <c r="E1" s="15" t="s">
        <v>27</v>
      </c>
      <c r="F1" s="15" t="s">
        <v>12</v>
      </c>
      <c r="G1" s="15" t="s">
        <v>14</v>
      </c>
      <c r="H1" s="15" t="s">
        <v>15</v>
      </c>
      <c r="I1" s="15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</row>
    <row r="2" customFormat="false" ht="15" hidden="false" customHeight="false" outlineLevel="0" collapsed="false">
      <c r="A2" s="16" t="s">
        <v>28</v>
      </c>
      <c r="B2" s="17" t="n">
        <v>800</v>
      </c>
      <c r="C2" s="18" t="n">
        <v>1.63</v>
      </c>
      <c r="D2" s="19" t="n">
        <v>120098</v>
      </c>
      <c r="E2" s="20"/>
      <c r="F2" s="21" t="n">
        <v>152.6</v>
      </c>
      <c r="G2" s="17" t="n">
        <v>226</v>
      </c>
      <c r="H2" s="17" t="n">
        <v>151</v>
      </c>
      <c r="I2" s="20"/>
      <c r="J2" s="19" t="n">
        <v>531</v>
      </c>
      <c r="K2" s="20" t="n">
        <v>78.8</v>
      </c>
      <c r="L2" s="22" t="n">
        <v>3.85</v>
      </c>
      <c r="M2" s="20" t="n">
        <v>77.5</v>
      </c>
      <c r="N2" s="20" t="n">
        <v>97.1</v>
      </c>
      <c r="O2" s="23" t="n">
        <v>12.6</v>
      </c>
      <c r="P2" s="22" t="n">
        <v>4.06</v>
      </c>
      <c r="Q2" s="20" t="n">
        <v>15.6</v>
      </c>
    </row>
    <row r="3" customFormat="false" ht="15" hidden="false" customHeight="false" outlineLevel="0" collapsed="false">
      <c r="A3" s="24" t="s">
        <v>29</v>
      </c>
      <c r="B3" s="9" t="n">
        <v>1780</v>
      </c>
      <c r="C3" s="11" t="n">
        <v>3.48</v>
      </c>
      <c r="D3" s="7" t="n">
        <v>244959</v>
      </c>
      <c r="E3" s="12" t="n">
        <v>104</v>
      </c>
      <c r="F3" s="10" t="n">
        <v>142.58</v>
      </c>
      <c r="G3" s="9" t="n">
        <v>425</v>
      </c>
      <c r="H3" s="9" t="n">
        <v>228</v>
      </c>
      <c r="I3" s="12" t="n">
        <v>75.7</v>
      </c>
      <c r="J3" s="7" t="n">
        <v>576</v>
      </c>
      <c r="K3" s="12" t="n">
        <v>77.8</v>
      </c>
      <c r="L3" s="13" t="n">
        <v>3.47</v>
      </c>
      <c r="M3" s="12" t="n">
        <v>82.2</v>
      </c>
      <c r="N3" s="12" t="n">
        <v>97</v>
      </c>
      <c r="O3" s="14" t="n">
        <v>13.2</v>
      </c>
      <c r="P3" s="13" t="n">
        <v>4.02</v>
      </c>
      <c r="Q3" s="12" t="n">
        <v>16.2</v>
      </c>
    </row>
    <row r="4" customFormat="false" ht="15" hidden="false" customHeight="false" outlineLevel="0" collapsed="false">
      <c r="A4" s="16" t="s">
        <v>30</v>
      </c>
      <c r="B4" s="17" t="n">
        <v>2682</v>
      </c>
      <c r="C4" s="18" t="n">
        <v>2.42</v>
      </c>
      <c r="D4" s="19" t="n">
        <v>368341</v>
      </c>
      <c r="E4" s="20" t="n">
        <v>50.4</v>
      </c>
      <c r="F4" s="21" t="n">
        <v>140.75</v>
      </c>
      <c r="G4" s="17" t="n">
        <v>490</v>
      </c>
      <c r="H4" s="17" t="n">
        <v>173</v>
      </c>
      <c r="I4" s="20" t="n">
        <v>69.2</v>
      </c>
      <c r="J4" s="19" t="n">
        <v>752</v>
      </c>
      <c r="K4" s="20" t="n">
        <v>78.5</v>
      </c>
      <c r="L4" s="22" t="n">
        <v>3.69</v>
      </c>
      <c r="M4" s="20" t="n">
        <v>93.2</v>
      </c>
      <c r="N4" s="20" t="n">
        <v>95.4</v>
      </c>
      <c r="O4" s="23" t="n">
        <v>13</v>
      </c>
      <c r="P4" s="22" t="n">
        <v>4.07</v>
      </c>
      <c r="Q4" s="20" t="n">
        <v>14.2</v>
      </c>
    </row>
    <row r="5" customFormat="false" ht="15" hidden="false" customHeight="false" outlineLevel="0" collapsed="false">
      <c r="A5" s="24" t="s">
        <v>31</v>
      </c>
      <c r="B5" s="9" t="n">
        <v>2404</v>
      </c>
      <c r="C5" s="11" t="n">
        <v>1.12</v>
      </c>
      <c r="D5" s="7" t="n">
        <v>353843</v>
      </c>
      <c r="E5" s="12" t="n">
        <v>-3.9</v>
      </c>
      <c r="F5" s="10" t="n">
        <v>148.86</v>
      </c>
      <c r="G5" s="9" t="n">
        <v>503</v>
      </c>
      <c r="H5" s="9" t="n">
        <v>116</v>
      </c>
      <c r="I5" s="12" t="n">
        <v>70.6</v>
      </c>
      <c r="J5" s="7" t="n">
        <v>703</v>
      </c>
      <c r="K5" s="12" t="n">
        <v>77.6</v>
      </c>
      <c r="L5" s="13" t="n">
        <v>3.9</v>
      </c>
      <c r="M5" s="12" t="n">
        <v>92.7</v>
      </c>
      <c r="N5" s="12" t="n">
        <v>93.4</v>
      </c>
      <c r="O5" s="14" t="n">
        <v>14.9</v>
      </c>
      <c r="P5" s="13" t="n">
        <v>4.04</v>
      </c>
      <c r="Q5" s="12" t="n">
        <v>15.5</v>
      </c>
    </row>
    <row r="6" customFormat="false" ht="15" hidden="false" customHeight="false" outlineLevel="0" collapsed="false">
      <c r="A6" s="16" t="s">
        <v>32</v>
      </c>
      <c r="B6" s="17" t="n">
        <v>3700</v>
      </c>
      <c r="C6" s="18" t="n">
        <v>1.62</v>
      </c>
      <c r="D6" s="19" t="n">
        <v>503159</v>
      </c>
      <c r="E6" s="20" t="n">
        <v>42.2</v>
      </c>
      <c r="F6" s="21" t="n">
        <v>138.23</v>
      </c>
      <c r="G6" s="17" t="n">
        <v>577</v>
      </c>
      <c r="H6" s="17" t="n">
        <v>124</v>
      </c>
      <c r="I6" s="20" t="n">
        <v>74.6</v>
      </c>
      <c r="J6" s="19" t="n">
        <v>872</v>
      </c>
      <c r="K6" s="20" t="n">
        <v>74.8</v>
      </c>
      <c r="L6" s="22" t="n">
        <v>4.16</v>
      </c>
      <c r="M6" s="20" t="n">
        <v>92.7</v>
      </c>
      <c r="N6" s="20" t="n">
        <v>97</v>
      </c>
      <c r="O6" s="23" t="n">
        <v>11.3</v>
      </c>
      <c r="P6" s="22" t="n">
        <v>4.14</v>
      </c>
      <c r="Q6" s="20" t="n">
        <v>12.8</v>
      </c>
    </row>
    <row r="7" customFormat="false" ht="15" hidden="false" customHeight="false" outlineLevel="0" collapsed="false">
      <c r="A7" s="24" t="s">
        <v>33</v>
      </c>
      <c r="B7" s="9" t="n">
        <v>3245</v>
      </c>
      <c r="C7" s="11" t="n">
        <v>1.23</v>
      </c>
      <c r="D7" s="7" t="n">
        <v>429917</v>
      </c>
      <c r="E7" s="12" t="n">
        <v>-14.6</v>
      </c>
      <c r="F7" s="10" t="n">
        <v>134.14</v>
      </c>
      <c r="G7" s="9" t="n">
        <v>534</v>
      </c>
      <c r="H7" s="9" t="n">
        <v>76</v>
      </c>
      <c r="I7" s="12" t="n">
        <v>67.4</v>
      </c>
      <c r="J7" s="7" t="n">
        <v>805</v>
      </c>
      <c r="K7" s="12" t="n">
        <v>75.5</v>
      </c>
      <c r="L7" s="13" t="n">
        <v>4.06</v>
      </c>
      <c r="M7" s="12" t="n">
        <v>92</v>
      </c>
      <c r="N7" s="12" t="n">
        <v>97</v>
      </c>
      <c r="O7" s="14" t="n">
        <v>12</v>
      </c>
      <c r="P7" s="13" t="n">
        <v>4.15</v>
      </c>
      <c r="Q7" s="12" t="n">
        <v>12.7</v>
      </c>
    </row>
    <row r="8" customFormat="false" ht="15" hidden="false" customHeight="false" outlineLevel="0" collapsed="false">
      <c r="A8" s="16" t="s">
        <v>34</v>
      </c>
      <c r="B8" s="17" t="n">
        <v>4026</v>
      </c>
      <c r="C8" s="18" t="n">
        <v>1.99</v>
      </c>
      <c r="D8" s="19" t="n">
        <v>492287</v>
      </c>
      <c r="E8" s="20" t="n">
        <v>14.5</v>
      </c>
      <c r="F8" s="21" t="n">
        <v>124.76</v>
      </c>
      <c r="G8" s="17" t="n">
        <v>602</v>
      </c>
      <c r="H8" s="17" t="n">
        <v>115</v>
      </c>
      <c r="I8" s="20" t="n">
        <v>74</v>
      </c>
      <c r="J8" s="19" t="n">
        <v>818</v>
      </c>
      <c r="K8" s="20" t="n">
        <v>76.7</v>
      </c>
      <c r="L8" s="22" t="n">
        <v>4.05</v>
      </c>
      <c r="M8" s="20" t="n">
        <v>92.2</v>
      </c>
      <c r="N8" s="20" t="n">
        <v>97.2</v>
      </c>
      <c r="O8" s="23" t="n">
        <v>11.6</v>
      </c>
      <c r="P8" s="22" t="n">
        <v>4.18</v>
      </c>
      <c r="Q8" s="20" t="n">
        <v>12.2</v>
      </c>
    </row>
    <row r="9" customFormat="false" ht="15" hidden="false" customHeight="false" outlineLevel="0" collapsed="false">
      <c r="A9" s="24" t="s">
        <v>35</v>
      </c>
      <c r="B9" s="9" t="n">
        <v>4331</v>
      </c>
      <c r="C9" s="11" t="n">
        <v>1.36</v>
      </c>
      <c r="D9" s="7" t="n">
        <v>568246</v>
      </c>
      <c r="E9" s="12" t="n">
        <v>15.4</v>
      </c>
      <c r="F9" s="10" t="n">
        <v>133.02</v>
      </c>
      <c r="G9" s="9" t="n">
        <v>700</v>
      </c>
      <c r="H9" s="9" t="n">
        <v>129</v>
      </c>
      <c r="I9" s="12" t="n">
        <v>79.2</v>
      </c>
      <c r="J9" s="7" t="n">
        <v>812</v>
      </c>
      <c r="K9" s="12" t="n">
        <v>77.5</v>
      </c>
      <c r="L9" s="13" t="n">
        <v>3.9</v>
      </c>
      <c r="M9" s="12" t="n">
        <v>93.2</v>
      </c>
      <c r="N9" s="12" t="n">
        <v>97.1</v>
      </c>
      <c r="O9" s="14" t="n">
        <v>11.1</v>
      </c>
      <c r="P9" s="13" t="n">
        <v>4.24</v>
      </c>
      <c r="Q9" s="12" t="n">
        <v>11.4</v>
      </c>
    </row>
    <row r="10" customFormat="false" ht="15" hidden="false" customHeight="false" outlineLevel="0" collapsed="false">
      <c r="A10" s="16" t="s">
        <v>36</v>
      </c>
      <c r="B10" s="17" t="n">
        <v>4285</v>
      </c>
      <c r="C10" s="18" t="n">
        <v>1.35</v>
      </c>
      <c r="D10" s="19" t="n">
        <v>621416</v>
      </c>
      <c r="E10" s="20" t="n">
        <v>9.4</v>
      </c>
      <c r="F10" s="21" t="n">
        <v>147.01</v>
      </c>
      <c r="G10" s="17" t="n">
        <v>726</v>
      </c>
      <c r="H10" s="17" t="n">
        <v>127</v>
      </c>
      <c r="I10" s="20" t="n">
        <v>73.1</v>
      </c>
      <c r="J10" s="19" t="n">
        <v>856</v>
      </c>
      <c r="K10" s="20" t="n">
        <v>79</v>
      </c>
      <c r="L10" s="22" t="n">
        <v>3.78</v>
      </c>
      <c r="M10" s="20" t="n">
        <v>92.8</v>
      </c>
      <c r="N10" s="20" t="n">
        <v>95.6</v>
      </c>
      <c r="O10" s="23" t="n">
        <v>11.9</v>
      </c>
      <c r="P10" s="22" t="n">
        <v>4.19</v>
      </c>
      <c r="Q10" s="20" t="n">
        <v>12.4</v>
      </c>
    </row>
    <row r="11" customFormat="false" ht="15" hidden="false" customHeight="false" outlineLevel="0" collapsed="false">
      <c r="A11" s="24" t="s">
        <v>37</v>
      </c>
      <c r="B11" s="9" t="n">
        <v>4631</v>
      </c>
      <c r="C11" s="11" t="n">
        <v>1.81</v>
      </c>
      <c r="D11" s="7" t="n">
        <v>660180</v>
      </c>
      <c r="E11" s="12" t="n">
        <v>6.2</v>
      </c>
      <c r="F11" s="10" t="n">
        <v>145.19</v>
      </c>
      <c r="G11" s="9" t="n">
        <v>773</v>
      </c>
      <c r="H11" s="9" t="n">
        <v>147</v>
      </c>
      <c r="I11" s="12" t="n">
        <v>73.1</v>
      </c>
      <c r="J11" s="7" t="n">
        <v>854</v>
      </c>
      <c r="K11" s="12" t="n">
        <v>78.9</v>
      </c>
      <c r="L11" s="13" t="n">
        <v>3.62</v>
      </c>
      <c r="M11" s="12" t="n">
        <v>92.2</v>
      </c>
      <c r="N11" s="12" t="n">
        <v>95.8</v>
      </c>
      <c r="O11" s="14" t="n">
        <v>11.9</v>
      </c>
      <c r="P11" s="13" t="n">
        <v>4.12</v>
      </c>
      <c r="Q11" s="12" t="n">
        <v>13.2</v>
      </c>
    </row>
    <row r="12" customFormat="false" ht="15" hidden="false" customHeight="false" outlineLevel="0" collapsed="false">
      <c r="A12" s="16" t="s">
        <v>38</v>
      </c>
      <c r="B12" s="17" t="n">
        <v>7544</v>
      </c>
      <c r="C12" s="18" t="n">
        <v>1.6</v>
      </c>
      <c r="D12" s="19" t="n">
        <v>1003862</v>
      </c>
      <c r="E12" s="20" t="n">
        <v>52.1</v>
      </c>
      <c r="F12" s="21" t="n">
        <v>135.27</v>
      </c>
      <c r="G12" s="17" t="n">
        <v>960</v>
      </c>
      <c r="H12" s="17" t="n">
        <v>190</v>
      </c>
      <c r="I12" s="20" t="n">
        <v>78.8</v>
      </c>
      <c r="J12" s="19" t="n">
        <v>1046</v>
      </c>
      <c r="K12" s="20" t="n">
        <v>79.1</v>
      </c>
      <c r="L12" s="22" t="n">
        <v>3.74</v>
      </c>
      <c r="M12" s="20" t="n">
        <v>87.1</v>
      </c>
      <c r="N12" s="20" t="n">
        <v>87.6</v>
      </c>
      <c r="O12" s="23" t="n">
        <v>15.2</v>
      </c>
      <c r="P12" s="22" t="n">
        <v>3.91</v>
      </c>
      <c r="Q12" s="20" t="n">
        <v>18.8</v>
      </c>
    </row>
    <row r="13" customFormat="false" ht="15" hidden="false" customHeight="false" outlineLevel="0" collapsed="false">
      <c r="A13" s="24" t="s">
        <v>39</v>
      </c>
      <c r="B13" s="9" t="n">
        <v>5673</v>
      </c>
      <c r="C13" s="11" t="n">
        <v>0.93</v>
      </c>
      <c r="D13" s="7" t="n">
        <v>742184</v>
      </c>
      <c r="E13" s="12" t="n">
        <v>-26.1</v>
      </c>
      <c r="F13" s="10" t="n">
        <v>132.11</v>
      </c>
      <c r="G13" s="9" t="n">
        <v>859</v>
      </c>
      <c r="H13" s="9" t="n">
        <v>90</v>
      </c>
      <c r="I13" s="12" t="n">
        <v>69.6</v>
      </c>
      <c r="J13" s="7" t="n">
        <v>864</v>
      </c>
      <c r="K13" s="12" t="n">
        <v>77.8</v>
      </c>
      <c r="L13" s="13" t="n">
        <v>3.56</v>
      </c>
      <c r="M13" s="12" t="n">
        <v>89.1</v>
      </c>
      <c r="N13" s="12" t="n">
        <v>92.5</v>
      </c>
      <c r="O13" s="14" t="n">
        <v>15.4</v>
      </c>
      <c r="P13" s="13" t="n">
        <v>4.02</v>
      </c>
      <c r="Q13" s="12" t="n">
        <v>16.4</v>
      </c>
    </row>
    <row r="14" customFormat="false" ht="15" hidden="false" customHeight="false" outlineLevel="0" collapsed="false">
      <c r="A14" s="16" t="s">
        <v>40</v>
      </c>
      <c r="B14" s="17" t="n">
        <v>7269</v>
      </c>
      <c r="C14" s="18" t="n">
        <v>1.13</v>
      </c>
      <c r="D14" s="19" t="n">
        <v>945456</v>
      </c>
      <c r="E14" s="20" t="n">
        <v>27.4</v>
      </c>
      <c r="F14" s="21" t="n">
        <v>131.55</v>
      </c>
      <c r="G14" s="17" t="n">
        <v>968</v>
      </c>
      <c r="H14" s="17" t="n">
        <v>141</v>
      </c>
      <c r="I14" s="20" t="n">
        <v>76.4</v>
      </c>
      <c r="J14" s="19" t="n">
        <v>977</v>
      </c>
      <c r="K14" s="20" t="n">
        <v>77.9</v>
      </c>
      <c r="L14" s="22" t="n">
        <v>3.27</v>
      </c>
      <c r="M14" s="20" t="n">
        <v>89.8</v>
      </c>
      <c r="N14" s="20" t="n">
        <v>94.3</v>
      </c>
      <c r="O14" s="23" t="n">
        <v>14.1</v>
      </c>
      <c r="P14" s="22" t="n">
        <v>4.04</v>
      </c>
      <c r="Q14" s="20" t="n">
        <v>15.5</v>
      </c>
    </row>
    <row r="15" customFormat="false" ht="15" hidden="false" customHeight="false" outlineLevel="0" collapsed="false">
      <c r="A15" s="24" t="s">
        <v>41</v>
      </c>
      <c r="B15" s="9" t="n">
        <v>6728</v>
      </c>
      <c r="C15" s="11" t="n">
        <v>1.53</v>
      </c>
      <c r="D15" s="7" t="n">
        <v>837895</v>
      </c>
      <c r="E15" s="12" t="n">
        <v>-11.4</v>
      </c>
      <c r="F15" s="10" t="n">
        <v>126.49</v>
      </c>
      <c r="G15" s="9" t="n">
        <v>933</v>
      </c>
      <c r="H15" s="9" t="n">
        <v>120</v>
      </c>
      <c r="I15" s="12" t="n">
        <v>73.3</v>
      </c>
      <c r="J15" s="7" t="n">
        <v>898</v>
      </c>
      <c r="K15" s="12" t="n">
        <v>78.6</v>
      </c>
      <c r="L15" s="13" t="n">
        <v>3.17</v>
      </c>
      <c r="M15" s="12" t="n">
        <v>87.7</v>
      </c>
      <c r="N15" s="12" t="n">
        <v>85.9</v>
      </c>
      <c r="O15" s="14" t="n">
        <v>16.9</v>
      </c>
      <c r="P15" s="13" t="n">
        <v>3.83</v>
      </c>
      <c r="Q15" s="12" t="n">
        <v>20.9</v>
      </c>
    </row>
    <row r="16" customFormat="false" ht="15" hidden="false" customHeight="false" outlineLevel="0" collapsed="false">
      <c r="A16" s="16" t="s">
        <v>42</v>
      </c>
      <c r="B16" s="17" t="n">
        <v>7211</v>
      </c>
      <c r="C16" s="18" t="n">
        <v>0.6</v>
      </c>
      <c r="D16" s="19" t="n">
        <v>981051</v>
      </c>
      <c r="E16" s="20" t="n">
        <v>17.1</v>
      </c>
      <c r="F16" s="21" t="n">
        <v>136.87</v>
      </c>
      <c r="G16" s="17" t="n">
        <v>993</v>
      </c>
      <c r="H16" s="17" t="n">
        <v>113</v>
      </c>
      <c r="I16" s="20" t="n">
        <v>77.3</v>
      </c>
      <c r="J16" s="19" t="n">
        <v>988</v>
      </c>
      <c r="K16" s="20" t="n">
        <v>80.5</v>
      </c>
      <c r="L16" s="22" t="n">
        <v>3.45</v>
      </c>
      <c r="M16" s="20" t="n">
        <v>91.5</v>
      </c>
      <c r="N16" s="20" t="n">
        <v>81</v>
      </c>
      <c r="O16" s="23" t="n">
        <v>16.3</v>
      </c>
      <c r="P16" s="22" t="n">
        <v>3.75</v>
      </c>
      <c r="Q16" s="20" t="n">
        <v>22.8</v>
      </c>
    </row>
    <row r="17" customFormat="false" ht="15" hidden="false" customHeight="false" outlineLevel="0" collapsed="false">
      <c r="A17" s="24" t="s">
        <v>43</v>
      </c>
      <c r="B17" s="9" t="n">
        <v>6939</v>
      </c>
      <c r="C17" s="11" t="n">
        <v>0.29</v>
      </c>
      <c r="D17" s="7" t="n">
        <v>993593</v>
      </c>
      <c r="E17" s="12" t="n">
        <v>1.3</v>
      </c>
      <c r="F17" s="10" t="n">
        <v>143.6</v>
      </c>
      <c r="G17" s="9" t="n">
        <v>1116</v>
      </c>
      <c r="H17" s="9" t="n">
        <v>202</v>
      </c>
      <c r="I17" s="12" t="n">
        <v>77.4</v>
      </c>
      <c r="J17" s="7" t="n">
        <v>890</v>
      </c>
      <c r="K17" s="12" t="n">
        <v>80.4</v>
      </c>
      <c r="L17" s="13" t="n">
        <v>3.26</v>
      </c>
      <c r="M17" s="12" t="n">
        <v>94</v>
      </c>
      <c r="N17" s="12" t="n">
        <v>95.5</v>
      </c>
      <c r="O17" s="14" t="n">
        <v>11.5</v>
      </c>
      <c r="P17" s="13" t="n">
        <v>4.16</v>
      </c>
      <c r="Q17" s="12" t="n">
        <v>13</v>
      </c>
    </row>
    <row r="18" customFormat="false" ht="15" hidden="false" customHeight="false" outlineLevel="0" collapsed="false">
      <c r="A18" s="16" t="s">
        <v>44</v>
      </c>
      <c r="B18" s="17" t="n">
        <v>6873</v>
      </c>
      <c r="C18" s="18" t="n">
        <v>0.58</v>
      </c>
      <c r="D18" s="19" t="n">
        <v>992872</v>
      </c>
      <c r="E18" s="20" t="n">
        <v>-0.1</v>
      </c>
      <c r="F18" s="21" t="n">
        <v>145.31</v>
      </c>
      <c r="G18" s="17" t="n">
        <v>1107</v>
      </c>
      <c r="H18" s="17" t="n">
        <v>172</v>
      </c>
      <c r="I18" s="20" t="n">
        <v>72.9</v>
      </c>
      <c r="J18" s="19" t="n">
        <v>897</v>
      </c>
      <c r="K18" s="20" t="n">
        <v>80.4</v>
      </c>
      <c r="L18" s="22" t="n">
        <v>3.4</v>
      </c>
      <c r="M18" s="20" t="n">
        <v>93.4</v>
      </c>
      <c r="N18" s="20" t="n">
        <v>93.4</v>
      </c>
      <c r="O18" s="23" t="n">
        <v>11.4</v>
      </c>
      <c r="P18" s="22" t="n">
        <v>4.19</v>
      </c>
      <c r="Q18" s="20" t="n">
        <v>11.9</v>
      </c>
    </row>
    <row r="19" customFormat="false" ht="15" hidden="false" customHeight="false" outlineLevel="0" collapsed="false">
      <c r="A19" s="24" t="s">
        <v>45</v>
      </c>
      <c r="B19" s="9" t="n">
        <v>6167</v>
      </c>
      <c r="C19" s="11" t="n">
        <v>0.36</v>
      </c>
      <c r="D19" s="7" t="n">
        <v>863266</v>
      </c>
      <c r="E19" s="12" t="n">
        <v>-13.1</v>
      </c>
      <c r="F19" s="10" t="n">
        <v>140.48</v>
      </c>
      <c r="G19" s="9" t="n">
        <v>1168</v>
      </c>
      <c r="H19" s="9" t="n">
        <v>191</v>
      </c>
      <c r="I19" s="12" t="n">
        <v>72.3</v>
      </c>
      <c r="J19" s="7" t="n">
        <v>739</v>
      </c>
      <c r="K19" s="12" t="n">
        <v>79.2</v>
      </c>
      <c r="L19" s="13" t="n">
        <v>3.46</v>
      </c>
      <c r="M19" s="12" t="n">
        <v>93.2</v>
      </c>
      <c r="N19" s="12" t="n">
        <v>98.8</v>
      </c>
      <c r="O19" s="14" t="n">
        <v>9.2</v>
      </c>
      <c r="P19" s="13" t="n">
        <v>4.28</v>
      </c>
      <c r="Q19" s="12" t="n">
        <v>10.8</v>
      </c>
    </row>
    <row r="20" customFormat="false" ht="15" hidden="false" customHeight="false" outlineLevel="0" collapsed="false">
      <c r="A20" s="16" t="s">
        <v>46</v>
      </c>
      <c r="B20" s="17" t="n">
        <v>6292</v>
      </c>
      <c r="C20" s="18" t="n">
        <v>0.94</v>
      </c>
      <c r="D20" s="19" t="n">
        <v>878044</v>
      </c>
      <c r="E20" s="20" t="n">
        <v>1.7</v>
      </c>
      <c r="F20" s="21" t="n">
        <v>140.87</v>
      </c>
      <c r="G20" s="17" t="n">
        <v>1245</v>
      </c>
      <c r="H20" s="17" t="n">
        <v>190</v>
      </c>
      <c r="I20" s="20" t="n">
        <v>73.1</v>
      </c>
      <c r="J20" s="19" t="n">
        <v>705</v>
      </c>
      <c r="K20" s="20" t="n">
        <v>75.5</v>
      </c>
      <c r="L20" s="22" t="n">
        <v>3.37</v>
      </c>
      <c r="M20" s="20" t="n">
        <v>91.1</v>
      </c>
      <c r="N20" s="20" t="n">
        <v>96.6</v>
      </c>
      <c r="O20" s="23" t="n">
        <v>9</v>
      </c>
      <c r="P20" s="22" t="n">
        <v>4.26</v>
      </c>
      <c r="Q20" s="20" t="n">
        <v>11.1</v>
      </c>
    </row>
    <row r="21" customFormat="false" ht="15" hidden="false" customHeight="false" outlineLevel="0" collapsed="false">
      <c r="A21" s="24" t="s">
        <v>3</v>
      </c>
      <c r="B21" s="9" t="n">
        <v>6512</v>
      </c>
      <c r="C21" s="11" t="n">
        <v>1.4</v>
      </c>
      <c r="D21" s="7" t="n">
        <v>848860</v>
      </c>
      <c r="E21" s="12" t="n">
        <v>-3.3</v>
      </c>
      <c r="F21" s="10" t="n">
        <v>132.2</v>
      </c>
      <c r="G21" s="9" t="n">
        <v>1266</v>
      </c>
      <c r="H21" s="9" t="n">
        <v>155</v>
      </c>
      <c r="I21" s="12" t="n">
        <v>72.5</v>
      </c>
      <c r="J21" s="7" t="n">
        <v>671</v>
      </c>
      <c r="K21" s="12" t="n">
        <v>79.4</v>
      </c>
      <c r="L21" s="13" t="n">
        <v>3.36</v>
      </c>
      <c r="M21" s="12" t="n">
        <v>90.8</v>
      </c>
      <c r="N21" s="12" t="n">
        <v>93.8</v>
      </c>
      <c r="O21" s="14" t="n">
        <v>7.7</v>
      </c>
      <c r="P21" s="13" t="n">
        <v>4.26</v>
      </c>
      <c r="Q21" s="12" t="n"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8.4"/>
    <col collapsed="false" customWidth="true" hidden="false" outlineLevel="0" max="7" min="7" style="0" width="10"/>
    <col collapsed="false" customWidth="true" hidden="false" outlineLevel="0" max="8" min="8" style="0" width="12.8"/>
  </cols>
  <sheetData>
    <row r="1" customFormat="false" ht="31.5" hidden="false" customHeight="true" outlineLevel="0" collapsed="false">
      <c r="A1" s="15" t="s">
        <v>47</v>
      </c>
      <c r="B1" s="15" t="s">
        <v>11</v>
      </c>
      <c r="C1" s="15" t="s">
        <v>48</v>
      </c>
      <c r="D1" s="15" t="s">
        <v>49</v>
      </c>
      <c r="E1" s="15" t="s">
        <v>50</v>
      </c>
      <c r="F1" s="15" t="s">
        <v>51</v>
      </c>
      <c r="G1" s="15" t="s">
        <v>52</v>
      </c>
      <c r="H1" s="15" t="s">
        <v>53</v>
      </c>
    </row>
    <row r="2" customFormat="false" ht="15" hidden="false" customHeight="false" outlineLevel="0" collapsed="false">
      <c r="A2" s="25" t="s">
        <v>54</v>
      </c>
      <c r="B2" s="25" t="n">
        <v>73889</v>
      </c>
      <c r="C2" s="20" t="n">
        <v>75.5</v>
      </c>
      <c r="D2" s="20" t="n">
        <v>78.5</v>
      </c>
      <c r="E2" s="21" t="n">
        <v>166.59</v>
      </c>
      <c r="F2" s="25" t="n">
        <v>0.3</v>
      </c>
      <c r="G2" s="20" t="n">
        <v>1.11</v>
      </c>
      <c r="H2" s="25" t="n">
        <v>4.09</v>
      </c>
    </row>
    <row r="3" customFormat="false" ht="15" hidden="false" customHeight="false" outlineLevel="0" collapsed="false">
      <c r="A3" s="6" t="s">
        <v>55</v>
      </c>
      <c r="B3" s="6" t="n">
        <v>19479</v>
      </c>
      <c r="C3" s="12" t="n">
        <v>19.9</v>
      </c>
      <c r="D3" s="12" t="n">
        <v>18</v>
      </c>
      <c r="E3" s="10" t="n">
        <v>144.65</v>
      </c>
      <c r="F3" s="6" t="n">
        <v>29.1</v>
      </c>
      <c r="G3" s="12" t="n">
        <v>1.23</v>
      </c>
      <c r="H3" s="6" t="n">
        <v>4.09</v>
      </c>
    </row>
    <row r="4" customFormat="false" ht="15" hidden="false" customHeight="false" outlineLevel="0" collapsed="false">
      <c r="A4" s="25" t="s">
        <v>56</v>
      </c>
      <c r="B4" s="25" t="n">
        <v>3028</v>
      </c>
      <c r="C4" s="20" t="n">
        <v>3.1</v>
      </c>
      <c r="D4" s="20" t="n">
        <v>2.2</v>
      </c>
      <c r="E4" s="21" t="n">
        <v>114.93</v>
      </c>
      <c r="F4" s="25" t="n">
        <v>0.3</v>
      </c>
      <c r="G4" s="20" t="n">
        <v>3.04</v>
      </c>
      <c r="H4" s="25" t="n">
        <v>4.02</v>
      </c>
    </row>
    <row r="5" customFormat="false" ht="15" hidden="false" customHeight="false" outlineLevel="0" collapsed="false">
      <c r="A5" s="6" t="s">
        <v>57</v>
      </c>
      <c r="B5" s="6" t="n">
        <v>1512</v>
      </c>
      <c r="C5" s="12" t="n">
        <v>1.5</v>
      </c>
      <c r="D5" s="12" t="n">
        <v>1.4</v>
      </c>
      <c r="E5" s="10" t="n">
        <v>140.29</v>
      </c>
      <c r="F5" s="6" t="n">
        <v>0.8</v>
      </c>
      <c r="G5" s="12" t="n">
        <v>0.85</v>
      </c>
      <c r="H5" s="6" t="n">
        <v>4.17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2"/>
  </cols>
  <sheetData>
    <row r="1" customFormat="false" ht="31.5" hidden="false" customHeight="true" outlineLevel="0" collapsed="false">
      <c r="A1" s="15" t="s">
        <v>58</v>
      </c>
      <c r="B1" s="15" t="s">
        <v>11</v>
      </c>
      <c r="C1" s="15" t="s">
        <v>48</v>
      </c>
      <c r="D1" s="15" t="s">
        <v>49</v>
      </c>
      <c r="E1" s="15" t="s">
        <v>50</v>
      </c>
    </row>
    <row r="2" customFormat="false" ht="15" hidden="false" customHeight="false" outlineLevel="0" collapsed="false">
      <c r="A2" s="25" t="s">
        <v>59</v>
      </c>
      <c r="B2" s="25" t="n">
        <v>23676</v>
      </c>
      <c r="C2" s="20" t="n">
        <v>32</v>
      </c>
      <c r="D2" s="20" t="n">
        <v>19.4</v>
      </c>
      <c r="E2" s="21" t="n">
        <v>100.83</v>
      </c>
    </row>
    <row r="3" customFormat="false" ht="15" hidden="false" customHeight="false" outlineLevel="0" collapsed="false">
      <c r="A3" s="6" t="s">
        <v>60</v>
      </c>
      <c r="B3" s="6" t="n">
        <v>22345</v>
      </c>
      <c r="C3" s="12" t="n">
        <v>30.2</v>
      </c>
      <c r="D3" s="12" t="n">
        <v>24.6</v>
      </c>
      <c r="E3" s="10" t="n">
        <v>135.32</v>
      </c>
    </row>
    <row r="4" customFormat="false" ht="15" hidden="false" customHeight="false" outlineLevel="0" collapsed="false">
      <c r="A4" s="25" t="s">
        <v>61</v>
      </c>
      <c r="B4" s="25" t="n">
        <v>15920</v>
      </c>
      <c r="C4" s="20" t="n">
        <v>21.5</v>
      </c>
      <c r="D4" s="20" t="n">
        <v>23.6</v>
      </c>
      <c r="E4" s="21" t="n">
        <v>182.19</v>
      </c>
    </row>
    <row r="5" customFormat="false" ht="15" hidden="false" customHeight="false" outlineLevel="0" collapsed="false">
      <c r="A5" s="6" t="s">
        <v>62</v>
      </c>
      <c r="B5" s="6" t="n">
        <v>11612</v>
      </c>
      <c r="C5" s="12" t="n">
        <v>15.7</v>
      </c>
      <c r="D5" s="12" t="n">
        <v>31.5</v>
      </c>
      <c r="E5" s="10" t="n">
        <v>333.8</v>
      </c>
    </row>
    <row r="6" customFormat="false" ht="15" hidden="false" customHeight="false" outlineLevel="0" collapsed="false">
      <c r="A6" s="25" t="s">
        <v>63</v>
      </c>
      <c r="B6" s="25" t="n">
        <v>336</v>
      </c>
      <c r="C6" s="20" t="n">
        <v>0.5</v>
      </c>
      <c r="D6" s="20" t="n">
        <v>1</v>
      </c>
      <c r="E6" s="21" t="n">
        <v>362.25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0"/>
    <col collapsed="false" customWidth="true" hidden="false" outlineLevel="0" max="3" min="3" style="0" width="11.2"/>
    <col collapsed="false" customWidth="true" hidden="false" outlineLevel="0" max="4" min="4" style="0" width="14.4"/>
    <col collapsed="false" customWidth="true" hidden="false" outlineLevel="0" max="5" min="5" style="0" width="16"/>
    <col collapsed="false" customWidth="true" hidden="false" outlineLevel="0" max="6" min="6" style="0" width="20.8"/>
    <col collapsed="false" customWidth="true" hidden="false" outlineLevel="0" max="7" min="7" style="0" width="16.8"/>
  </cols>
  <sheetData>
    <row r="1" customFormat="false" ht="31.5" hidden="false" customHeight="true" outlineLevel="0" collapsed="false">
      <c r="A1" s="15" t="s">
        <v>64</v>
      </c>
      <c r="B1" s="15" t="s">
        <v>65</v>
      </c>
      <c r="C1" s="15" t="s">
        <v>66</v>
      </c>
      <c r="D1" s="15" t="s">
        <v>67</v>
      </c>
      <c r="E1" s="15" t="s">
        <v>68</v>
      </c>
      <c r="F1" s="15" t="s">
        <v>69</v>
      </c>
      <c r="G1" s="15" t="s">
        <v>70</v>
      </c>
    </row>
    <row r="2" customFormat="false" ht="15" hidden="false" customHeight="false" outlineLevel="0" collapsed="false">
      <c r="A2" s="25" t="s">
        <v>71</v>
      </c>
      <c r="B2" s="25" t="n">
        <v>2296</v>
      </c>
      <c r="C2" s="25" t="n">
        <v>271</v>
      </c>
      <c r="D2" s="20" t="n">
        <v>11.8</v>
      </c>
      <c r="E2" s="25" t="n">
        <v>14.5</v>
      </c>
      <c r="F2" s="20" t="n">
        <v>48.5</v>
      </c>
      <c r="G2" s="19" t="n">
        <v>764</v>
      </c>
    </row>
    <row r="3" customFormat="false" ht="15" hidden="false" customHeight="false" outlineLevel="0" collapsed="false">
      <c r="A3" s="6" t="s">
        <v>72</v>
      </c>
      <c r="B3" s="6" t="n">
        <v>1586</v>
      </c>
      <c r="C3" s="6" t="n">
        <v>195</v>
      </c>
      <c r="D3" s="12" t="n">
        <v>12.3</v>
      </c>
      <c r="E3" s="6" t="n">
        <v>15</v>
      </c>
      <c r="F3" s="12" t="n">
        <v>59.6</v>
      </c>
      <c r="G3" s="7" t="n">
        <v>784</v>
      </c>
    </row>
    <row r="4" customFormat="false" ht="15" hidden="false" customHeight="false" outlineLevel="0" collapsed="false">
      <c r="A4" s="25" t="s">
        <v>73</v>
      </c>
      <c r="B4" s="25" t="n">
        <v>1350</v>
      </c>
      <c r="C4" s="25" t="n">
        <v>75</v>
      </c>
      <c r="D4" s="20" t="n">
        <v>5.6</v>
      </c>
      <c r="E4" s="25" t="n">
        <v>30</v>
      </c>
      <c r="F4" s="20" t="n">
        <v>47.6</v>
      </c>
      <c r="G4" s="19" t="n">
        <v>579</v>
      </c>
    </row>
    <row r="5" customFormat="false" ht="15" hidden="false" customHeight="false" outlineLevel="0" collapsed="false">
      <c r="A5" s="6" t="s">
        <v>74</v>
      </c>
      <c r="B5" s="6" t="n">
        <v>1159</v>
      </c>
      <c r="C5" s="6" t="n">
        <v>193</v>
      </c>
      <c r="D5" s="12" t="n">
        <v>16.7</v>
      </c>
      <c r="E5" s="6" t="n">
        <v>11</v>
      </c>
      <c r="F5" s="12" t="n">
        <v>47.4</v>
      </c>
      <c r="G5" s="7" t="n">
        <v>1113</v>
      </c>
    </row>
    <row r="6" customFormat="false" ht="15" hidden="false" customHeight="false" outlineLevel="0" collapsed="false">
      <c r="A6" s="25" t="s">
        <v>75</v>
      </c>
      <c r="B6" s="25" t="n">
        <v>499</v>
      </c>
      <c r="C6" s="25" t="n">
        <v>56</v>
      </c>
      <c r="D6" s="20" t="n">
        <v>11.2</v>
      </c>
      <c r="E6" s="25" t="n">
        <v>10</v>
      </c>
      <c r="F6" s="20" t="n">
        <v>58.5</v>
      </c>
      <c r="G6" s="19" t="n">
        <v>391</v>
      </c>
    </row>
    <row r="7" customFormat="false" ht="15" hidden="false" customHeight="false" outlineLevel="0" collapsed="false">
      <c r="A7" s="6" t="s">
        <v>76</v>
      </c>
      <c r="B7" s="6" t="n">
        <v>493</v>
      </c>
      <c r="C7" s="6" t="n">
        <v>15</v>
      </c>
      <c r="D7" s="12" t="n">
        <v>3</v>
      </c>
      <c r="E7" s="6" t="n">
        <v>21</v>
      </c>
      <c r="F7" s="12" t="n">
        <v>46.2</v>
      </c>
      <c r="G7" s="7" t="n">
        <v>566</v>
      </c>
    </row>
    <row r="8" customFormat="false" ht="15" hidden="false" customHeight="false" outlineLevel="0" collapsed="false">
      <c r="A8" s="25" t="s">
        <v>77</v>
      </c>
      <c r="B8" s="25" t="n">
        <v>284</v>
      </c>
      <c r="C8" s="25" t="n">
        <v>24</v>
      </c>
      <c r="D8" s="20" t="n">
        <v>8.5</v>
      </c>
      <c r="E8" s="25" t="n">
        <v>18.5</v>
      </c>
      <c r="F8" s="20" t="n">
        <v>47.4</v>
      </c>
      <c r="G8" s="19" t="n">
        <v>745</v>
      </c>
    </row>
    <row r="9" customFormat="false" ht="15" hidden="false" customHeight="false" outlineLevel="0" collapsed="false">
      <c r="A9" s="6" t="s">
        <v>78</v>
      </c>
      <c r="B9" s="6" t="n">
        <v>150</v>
      </c>
      <c r="C9" s="6" t="n">
        <v>4</v>
      </c>
      <c r="D9" s="12" t="n">
        <v>2.7</v>
      </c>
      <c r="E9" s="6" t="n">
        <v>9</v>
      </c>
      <c r="F9" s="12" t="n">
        <v>50</v>
      </c>
      <c r="G9" s="7" t="n">
        <v>1722</v>
      </c>
    </row>
    <row r="10" customFormat="false" ht="15" hidden="false" customHeight="false" outlineLevel="0" collapsed="false">
      <c r="A10" s="25" t="s">
        <v>79</v>
      </c>
      <c r="B10" s="25" t="n">
        <v>118</v>
      </c>
      <c r="C10" s="25" t="n">
        <v>6</v>
      </c>
      <c r="D10" s="20" t="n">
        <v>5.1</v>
      </c>
      <c r="E10" s="25" t="n">
        <v>8.5</v>
      </c>
      <c r="F10" s="20" t="n">
        <v>33.3</v>
      </c>
      <c r="G10" s="19" t="n">
        <v>154</v>
      </c>
    </row>
    <row r="11" customFormat="false" ht="15" hidden="false" customHeight="false" outlineLevel="0" collapsed="false">
      <c r="A11" s="6" t="s">
        <v>80</v>
      </c>
      <c r="B11" s="6" t="n">
        <v>65</v>
      </c>
      <c r="C11" s="6" t="n">
        <v>3</v>
      </c>
      <c r="D11" s="12" t="n">
        <v>4.6</v>
      </c>
      <c r="E11" s="6" t="n">
        <v>35</v>
      </c>
      <c r="F11" s="12" t="n">
        <v>0</v>
      </c>
      <c r="G11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.2"/>
    <col collapsed="false" customWidth="true" hidden="false" outlineLevel="0" max="3" min="3" style="0" width="15.2"/>
    <col collapsed="false" customWidth="true" hidden="false" outlineLevel="0" max="4" min="4" style="0" width="17.61"/>
    <col collapsed="false" customWidth="true" hidden="false" outlineLevel="0" max="5" min="5" style="0" width="16.8"/>
  </cols>
  <sheetData>
    <row r="1" customFormat="false" ht="31.5" hidden="false" customHeight="true" outlineLevel="0" collapsed="false">
      <c r="A1" s="15" t="s">
        <v>81</v>
      </c>
      <c r="B1" s="15" t="s">
        <v>66</v>
      </c>
      <c r="C1" s="15" t="s">
        <v>82</v>
      </c>
      <c r="D1" s="15" t="s">
        <v>83</v>
      </c>
      <c r="E1" s="15" t="s">
        <v>70</v>
      </c>
    </row>
    <row r="2" customFormat="false" ht="15" hidden="false" customHeight="false" outlineLevel="0" collapsed="false">
      <c r="A2" s="25" t="s">
        <v>84</v>
      </c>
      <c r="B2" s="25" t="n">
        <v>286</v>
      </c>
      <c r="C2" s="20" t="n">
        <v>58.4</v>
      </c>
      <c r="D2" s="25" t="n">
        <v>57</v>
      </c>
      <c r="E2" s="19" t="n">
        <v>704</v>
      </c>
    </row>
    <row r="3" customFormat="false" ht="15" hidden="false" customHeight="false" outlineLevel="0" collapsed="false">
      <c r="A3" s="6" t="s">
        <v>85</v>
      </c>
      <c r="B3" s="6" t="n">
        <v>108</v>
      </c>
      <c r="C3" s="12" t="n">
        <v>69.4</v>
      </c>
      <c r="D3" s="6" t="n">
        <v>45</v>
      </c>
      <c r="E3" s="7" t="n">
        <v>2680</v>
      </c>
    </row>
    <row r="4" customFormat="false" ht="15" hidden="false" customHeight="false" outlineLevel="0" collapsed="false">
      <c r="A4" s="25" t="s">
        <v>86</v>
      </c>
      <c r="B4" s="25" t="n">
        <v>107</v>
      </c>
      <c r="C4" s="20" t="n">
        <v>35.5</v>
      </c>
      <c r="D4" s="25" t="n">
        <v>54</v>
      </c>
      <c r="E4" s="19" t="n">
        <v>263</v>
      </c>
    </row>
    <row r="5" customFormat="false" ht="15" hidden="false" customHeight="false" outlineLevel="0" collapsed="false">
      <c r="A5" s="6" t="s">
        <v>87</v>
      </c>
      <c r="B5" s="6" t="n">
        <v>90</v>
      </c>
      <c r="C5" s="12" t="n">
        <v>33.3</v>
      </c>
      <c r="D5" s="6" t="n">
        <v>67</v>
      </c>
      <c r="E5" s="7" t="n">
        <v>216</v>
      </c>
    </row>
    <row r="6" customFormat="false" ht="15" hidden="false" customHeight="false" outlineLevel="0" collapsed="false">
      <c r="A6" s="25" t="s">
        <v>88</v>
      </c>
      <c r="B6" s="25" t="n">
        <v>65</v>
      </c>
      <c r="C6" s="20" t="n">
        <v>43.1</v>
      </c>
      <c r="D6" s="25" t="n">
        <v>51</v>
      </c>
      <c r="E6" s="19" t="n">
        <v>807</v>
      </c>
    </row>
    <row r="7" customFormat="false" ht="15" hidden="false" customHeight="false" outlineLevel="0" collapsed="false">
      <c r="A7" s="6" t="s">
        <v>89</v>
      </c>
      <c r="B7" s="6" t="n">
        <v>47</v>
      </c>
      <c r="C7" s="12" t="n">
        <v>44.7</v>
      </c>
      <c r="D7" s="6" t="n">
        <v>43</v>
      </c>
      <c r="E7" s="7" t="n">
        <v>475</v>
      </c>
    </row>
    <row r="8" customFormat="false" ht="15" hidden="false" customHeight="false" outlineLevel="0" collapsed="false">
      <c r="A8" s="25" t="s">
        <v>90</v>
      </c>
      <c r="B8" s="25" t="n">
        <v>14</v>
      </c>
      <c r="C8" s="20" t="n">
        <v>42.9</v>
      </c>
      <c r="D8" s="25" t="n">
        <v>27</v>
      </c>
      <c r="E8" s="19" t="n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.4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5" t="s">
        <v>91</v>
      </c>
      <c r="B1" s="15" t="s">
        <v>92</v>
      </c>
      <c r="C1" s="15" t="s">
        <v>93</v>
      </c>
      <c r="D1" s="15" t="s">
        <v>94</v>
      </c>
      <c r="E1" s="15" t="s">
        <v>95</v>
      </c>
    </row>
    <row r="2" customFormat="false" ht="15" hidden="false" customHeight="false" outlineLevel="0" collapsed="false">
      <c r="A2" s="25" t="n">
        <v>1</v>
      </c>
      <c r="B2" s="25" t="n">
        <v>303</v>
      </c>
      <c r="C2" s="19" t="n">
        <v>9061964</v>
      </c>
      <c r="D2" s="20" t="n">
        <v>67.4</v>
      </c>
      <c r="E2" s="20" t="n">
        <v>67.4</v>
      </c>
    </row>
    <row r="3" customFormat="false" ht="15" hidden="false" customHeight="false" outlineLevel="0" collapsed="false">
      <c r="A3" s="6" t="n">
        <v>2</v>
      </c>
      <c r="B3" s="6" t="n">
        <v>303</v>
      </c>
      <c r="C3" s="7" t="n">
        <v>2035079</v>
      </c>
      <c r="D3" s="12" t="n">
        <v>15.1</v>
      </c>
      <c r="E3" s="12" t="n">
        <v>82.5</v>
      </c>
    </row>
    <row r="4" customFormat="false" ht="15" hidden="false" customHeight="false" outlineLevel="0" collapsed="false">
      <c r="A4" s="25" t="n">
        <v>3</v>
      </c>
      <c r="B4" s="25" t="n">
        <v>303</v>
      </c>
      <c r="C4" s="19" t="n">
        <v>1029567</v>
      </c>
      <c r="D4" s="20" t="n">
        <v>7.7</v>
      </c>
      <c r="E4" s="20" t="n">
        <v>90.2</v>
      </c>
    </row>
    <row r="5" customFormat="false" ht="15" hidden="false" customHeight="false" outlineLevel="0" collapsed="false">
      <c r="A5" s="6" t="n">
        <v>4</v>
      </c>
      <c r="B5" s="6" t="n">
        <v>303</v>
      </c>
      <c r="C5" s="7" t="n">
        <v>554331</v>
      </c>
      <c r="D5" s="12" t="n">
        <v>4.1</v>
      </c>
      <c r="E5" s="12" t="n">
        <v>94.3</v>
      </c>
    </row>
    <row r="6" customFormat="false" ht="15" hidden="false" customHeight="false" outlineLevel="0" collapsed="false">
      <c r="A6" s="25" t="n">
        <v>5</v>
      </c>
      <c r="B6" s="25" t="n">
        <v>303</v>
      </c>
      <c r="C6" s="19" t="n">
        <v>328561</v>
      </c>
      <c r="D6" s="20" t="n">
        <v>2.4</v>
      </c>
      <c r="E6" s="20" t="n">
        <v>96.7</v>
      </c>
    </row>
    <row r="7" customFormat="false" ht="15" hidden="false" customHeight="false" outlineLevel="0" collapsed="false">
      <c r="A7" s="6" t="n">
        <v>6</v>
      </c>
      <c r="B7" s="6" t="n">
        <v>303</v>
      </c>
      <c r="C7" s="7" t="n">
        <v>203244</v>
      </c>
      <c r="D7" s="12" t="n">
        <v>1.5</v>
      </c>
      <c r="E7" s="12" t="n">
        <v>98.2</v>
      </c>
    </row>
    <row r="8" customFormat="false" ht="15" hidden="false" customHeight="false" outlineLevel="0" collapsed="false">
      <c r="A8" s="25" t="n">
        <v>7</v>
      </c>
      <c r="B8" s="25" t="n">
        <v>303</v>
      </c>
      <c r="C8" s="19" t="n">
        <v>118438</v>
      </c>
      <c r="D8" s="20" t="n">
        <v>0.9</v>
      </c>
      <c r="E8" s="20" t="n">
        <v>99.1</v>
      </c>
    </row>
    <row r="9" customFormat="false" ht="15" hidden="false" customHeight="false" outlineLevel="0" collapsed="false">
      <c r="A9" s="6" t="n">
        <v>8</v>
      </c>
      <c r="B9" s="6" t="n">
        <v>303</v>
      </c>
      <c r="C9" s="7" t="n">
        <v>67783</v>
      </c>
      <c r="D9" s="12" t="n">
        <v>0.5</v>
      </c>
      <c r="E9" s="12" t="n">
        <v>99.6</v>
      </c>
    </row>
    <row r="10" customFormat="false" ht="15" hidden="false" customHeight="false" outlineLevel="0" collapsed="false">
      <c r="A10" s="25" t="n">
        <v>9</v>
      </c>
      <c r="B10" s="25" t="n">
        <v>303</v>
      </c>
      <c r="C10" s="19" t="n">
        <v>36741</v>
      </c>
      <c r="D10" s="20" t="n">
        <v>0.3</v>
      </c>
      <c r="E10" s="20" t="n">
        <v>99.9</v>
      </c>
    </row>
    <row r="11" customFormat="false" ht="15" hidden="false" customHeight="false" outlineLevel="0" collapsed="false">
      <c r="A11" s="6" t="n">
        <v>10</v>
      </c>
      <c r="B11" s="6" t="n">
        <v>302</v>
      </c>
      <c r="C11" s="7" t="n">
        <v>13820</v>
      </c>
      <c r="D11" s="12" t="n">
        <v>0.1</v>
      </c>
      <c r="E11" s="12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2.8"/>
    <col collapsed="false" customWidth="true" hidden="false" outlineLevel="0" max="5" min="5" style="0" width="11.2"/>
  </cols>
  <sheetData>
    <row r="1" customFormat="false" ht="31.5" hidden="false" customHeight="true" outlineLevel="0" collapsed="false">
      <c r="A1" s="15" t="s">
        <v>96</v>
      </c>
      <c r="B1" s="15" t="s">
        <v>11</v>
      </c>
      <c r="C1" s="15" t="s">
        <v>97</v>
      </c>
      <c r="D1" s="15" t="s">
        <v>53</v>
      </c>
      <c r="E1" s="15" t="s">
        <v>98</v>
      </c>
    </row>
    <row r="2" customFormat="false" ht="15" hidden="false" customHeight="false" outlineLevel="0" collapsed="false">
      <c r="A2" s="25" t="s">
        <v>99</v>
      </c>
      <c r="B2" s="25" t="n">
        <v>89672</v>
      </c>
      <c r="C2" s="20" t="n">
        <v>93.2</v>
      </c>
      <c r="D2" s="25" t="n">
        <v>4.29</v>
      </c>
      <c r="E2" s="20" t="n">
        <v>9.2</v>
      </c>
    </row>
    <row r="3" customFormat="false" ht="15" hidden="false" customHeight="false" outlineLevel="0" collapsed="false">
      <c r="A3" s="6" t="s">
        <v>100</v>
      </c>
      <c r="B3" s="6" t="n">
        <v>1869</v>
      </c>
      <c r="C3" s="12" t="n">
        <v>1.9</v>
      </c>
      <c r="D3" s="6" t="n">
        <v>3.29</v>
      </c>
      <c r="E3" s="12" t="n">
        <v>32.1</v>
      </c>
    </row>
    <row r="4" customFormat="false" ht="15" hidden="false" customHeight="false" outlineLevel="0" collapsed="false">
      <c r="A4" s="25" t="s">
        <v>101</v>
      </c>
      <c r="B4" s="25" t="n">
        <v>1802</v>
      </c>
      <c r="C4" s="20" t="n">
        <v>1.9</v>
      </c>
      <c r="D4" s="25" t="n">
        <v>2.1</v>
      </c>
      <c r="E4" s="20" t="n">
        <v>67.7</v>
      </c>
    </row>
    <row r="5" customFormat="false" ht="15" hidden="false" customHeight="false" outlineLevel="0" collapsed="false">
      <c r="A5" s="6" t="s">
        <v>102</v>
      </c>
      <c r="B5" s="6" t="n">
        <v>2860</v>
      </c>
      <c r="C5" s="12" t="n">
        <v>3</v>
      </c>
      <c r="D5" s="6" t="n">
        <v>1.7</v>
      </c>
      <c r="E5" s="12" t="n">
        <v>79.3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.8"/>
    <col collapsed="false" customWidth="true" hidden="false" outlineLevel="0" max="3" min="3" style="0" width="13.6"/>
    <col collapsed="false" customWidth="true" hidden="false" outlineLevel="0" max="4" min="4" style="0" width="12.8"/>
  </cols>
  <sheetData>
    <row r="1" customFormat="false" ht="31.5" hidden="false" customHeight="true" outlineLevel="0" collapsed="false">
      <c r="A1" s="15" t="s">
        <v>103</v>
      </c>
      <c r="B1" s="15" t="s">
        <v>104</v>
      </c>
      <c r="C1" s="15" t="s">
        <v>105</v>
      </c>
      <c r="D1" s="15" t="s">
        <v>53</v>
      </c>
    </row>
    <row r="2" customFormat="false" ht="15" hidden="false" customHeight="false" outlineLevel="0" collapsed="false">
      <c r="A2" s="25" t="s">
        <v>106</v>
      </c>
      <c r="B2" s="25" t="n">
        <v>87610</v>
      </c>
      <c r="C2" s="20" t="n">
        <v>5.4</v>
      </c>
      <c r="D2" s="25" t="n">
        <v>4.2</v>
      </c>
    </row>
    <row r="3" customFormat="false" ht="15" hidden="false" customHeight="false" outlineLevel="0" collapsed="false">
      <c r="A3" s="6" t="s">
        <v>107</v>
      </c>
      <c r="B3" s="6" t="n">
        <v>8592</v>
      </c>
      <c r="C3" s="12" t="n">
        <v>21.1</v>
      </c>
      <c r="D3" s="6" t="n">
        <v>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1"/>
    <col collapsed="false" customWidth="true" hidden="false" outlineLevel="0" max="3" min="3" style="0" width="10.4"/>
    <col collapsed="false" customWidth="true" hidden="false" outlineLevel="0" max="5" min="4" style="0" width="10"/>
    <col collapsed="false" customWidth="true" hidden="false" outlineLevel="0" max="6" min="6" style="0" width="11.2"/>
    <col collapsed="false" customWidth="true" hidden="false" outlineLevel="0" max="7" min="7" style="0" width="16.8"/>
    <col collapsed="false" customWidth="true" hidden="false" outlineLevel="0" max="8" min="8" style="0" width="12.8"/>
  </cols>
  <sheetData>
    <row r="1" customFormat="false" ht="31.5" hidden="false" customHeight="true" outlineLevel="0" collapsed="false">
      <c r="A1" s="15" t="s">
        <v>108</v>
      </c>
      <c r="B1" s="15" t="s">
        <v>93</v>
      </c>
      <c r="C1" s="15" t="s">
        <v>94</v>
      </c>
      <c r="D1" s="15" t="s">
        <v>11</v>
      </c>
      <c r="E1" s="15" t="s">
        <v>92</v>
      </c>
      <c r="F1" s="15" t="s">
        <v>109</v>
      </c>
      <c r="G1" s="15" t="s">
        <v>110</v>
      </c>
      <c r="H1" s="15" t="s">
        <v>53</v>
      </c>
    </row>
    <row r="2" customFormat="false" ht="15" hidden="false" customHeight="false" outlineLevel="0" collapsed="false">
      <c r="A2" s="25" t="s">
        <v>111</v>
      </c>
      <c r="B2" s="19" t="n">
        <v>1251146</v>
      </c>
      <c r="C2" s="20" t="n">
        <v>9.3</v>
      </c>
      <c r="D2" s="25" t="n">
        <v>8757</v>
      </c>
      <c r="E2" s="25" t="n">
        <v>485</v>
      </c>
      <c r="F2" s="21" t="n">
        <v>130.53</v>
      </c>
      <c r="G2" s="20" t="n">
        <v>92.5</v>
      </c>
      <c r="H2" s="25" t="n">
        <v>4.19</v>
      </c>
    </row>
    <row r="3" customFormat="false" ht="15" hidden="false" customHeight="false" outlineLevel="0" collapsed="false">
      <c r="A3" s="6" t="s">
        <v>112</v>
      </c>
      <c r="B3" s="7" t="n">
        <v>1194825</v>
      </c>
      <c r="C3" s="12" t="n">
        <v>8.9</v>
      </c>
      <c r="D3" s="6" t="n">
        <v>5599</v>
      </c>
      <c r="E3" s="6" t="n">
        <v>98</v>
      </c>
      <c r="F3" s="10" t="n">
        <v>200.31</v>
      </c>
      <c r="G3" s="12" t="n">
        <v>92.6</v>
      </c>
      <c r="H3" s="6" t="n">
        <v>4.07</v>
      </c>
    </row>
    <row r="4" customFormat="false" ht="15" hidden="false" customHeight="false" outlineLevel="0" collapsed="false">
      <c r="A4" s="25" t="s">
        <v>113</v>
      </c>
      <c r="B4" s="19" t="n">
        <v>1035485</v>
      </c>
      <c r="C4" s="20" t="n">
        <v>7.7</v>
      </c>
      <c r="D4" s="25" t="n">
        <v>9394</v>
      </c>
      <c r="E4" s="25" t="n">
        <v>194</v>
      </c>
      <c r="F4" s="21" t="n">
        <v>93.38</v>
      </c>
      <c r="G4" s="20" t="n">
        <v>92.6</v>
      </c>
      <c r="H4" s="25" t="n">
        <v>3.97</v>
      </c>
    </row>
    <row r="5" customFormat="false" ht="15" hidden="false" customHeight="false" outlineLevel="0" collapsed="false">
      <c r="A5" s="6" t="s">
        <v>114</v>
      </c>
      <c r="B5" s="7" t="n">
        <v>977729</v>
      </c>
      <c r="C5" s="12" t="n">
        <v>7.3</v>
      </c>
      <c r="D5" s="6" t="n">
        <v>7656</v>
      </c>
      <c r="E5" s="6" t="n">
        <v>474</v>
      </c>
      <c r="F5" s="10" t="n">
        <v>114.05</v>
      </c>
      <c r="G5" s="12" t="n">
        <v>93.4</v>
      </c>
      <c r="H5" s="6" t="n">
        <v>4.18</v>
      </c>
    </row>
    <row r="6" customFormat="false" ht="15" hidden="false" customHeight="false" outlineLevel="0" collapsed="false">
      <c r="A6" s="25" t="s">
        <v>115</v>
      </c>
      <c r="B6" s="19" t="n">
        <v>902923</v>
      </c>
      <c r="C6" s="20" t="n">
        <v>6.7</v>
      </c>
      <c r="D6" s="25" t="n">
        <v>6636</v>
      </c>
      <c r="E6" s="25" t="n">
        <v>284</v>
      </c>
      <c r="F6" s="21" t="n">
        <v>116.36</v>
      </c>
      <c r="G6" s="20" t="n">
        <v>93.6</v>
      </c>
      <c r="H6" s="25" t="n">
        <v>4.04</v>
      </c>
    </row>
    <row r="7" customFormat="false" ht="15" hidden="false" customHeight="false" outlineLevel="0" collapsed="false">
      <c r="A7" s="6" t="s">
        <v>116</v>
      </c>
      <c r="B7" s="7" t="n">
        <v>721584</v>
      </c>
      <c r="C7" s="12" t="n">
        <v>5.4</v>
      </c>
      <c r="D7" s="6" t="n">
        <v>6373</v>
      </c>
      <c r="E7" s="6" t="n">
        <v>356</v>
      </c>
      <c r="F7" s="10" t="n">
        <v>87.69</v>
      </c>
      <c r="G7" s="12" t="n">
        <v>92.8</v>
      </c>
      <c r="H7" s="6" t="n">
        <v>4.02</v>
      </c>
    </row>
    <row r="8" customFormat="false" ht="15" hidden="false" customHeight="false" outlineLevel="0" collapsed="false">
      <c r="A8" s="25" t="s">
        <v>117</v>
      </c>
      <c r="B8" s="19" t="n">
        <v>625539</v>
      </c>
      <c r="C8" s="20" t="n">
        <v>4.7</v>
      </c>
      <c r="D8" s="25" t="n">
        <v>5838</v>
      </c>
      <c r="E8" s="25" t="n">
        <v>462</v>
      </c>
      <c r="F8" s="21" t="n">
        <v>90.62</v>
      </c>
      <c r="G8" s="20" t="n">
        <v>94.6</v>
      </c>
      <c r="H8" s="25" t="n">
        <v>4.16</v>
      </c>
    </row>
    <row r="9" customFormat="false" ht="15" hidden="false" customHeight="false" outlineLevel="0" collapsed="false">
      <c r="A9" s="6" t="s">
        <v>118</v>
      </c>
      <c r="B9" s="7" t="n">
        <v>619724</v>
      </c>
      <c r="C9" s="12" t="n">
        <v>4.6</v>
      </c>
      <c r="D9" s="6" t="n">
        <v>3609</v>
      </c>
      <c r="E9" s="6" t="n">
        <v>260</v>
      </c>
      <c r="F9" s="10" t="n">
        <v>164.3</v>
      </c>
      <c r="G9" s="12" t="n">
        <v>94.1</v>
      </c>
      <c r="H9" s="6" t="n">
        <v>4.18</v>
      </c>
    </row>
    <row r="10" customFormat="false" ht="15" hidden="false" customHeight="false" outlineLevel="0" collapsed="false">
      <c r="A10" s="25" t="s">
        <v>119</v>
      </c>
      <c r="B10" s="19" t="n">
        <v>585177</v>
      </c>
      <c r="C10" s="20" t="n">
        <v>4.4</v>
      </c>
      <c r="D10" s="25" t="n">
        <v>3863</v>
      </c>
      <c r="E10" s="25" t="n">
        <v>370</v>
      </c>
      <c r="F10" s="21" t="n">
        <v>139.49</v>
      </c>
      <c r="G10" s="20" t="n">
        <v>92.7</v>
      </c>
      <c r="H10" s="25" t="n">
        <v>4.11</v>
      </c>
    </row>
    <row r="11" customFormat="false" ht="15" hidden="false" customHeight="false" outlineLevel="0" collapsed="false">
      <c r="A11" s="6" t="s">
        <v>120</v>
      </c>
      <c r="B11" s="7" t="n">
        <v>479650</v>
      </c>
      <c r="C11" s="12" t="n">
        <v>3.6</v>
      </c>
      <c r="D11" s="6" t="n">
        <v>3500</v>
      </c>
      <c r="E11" s="6" t="n">
        <v>235</v>
      </c>
      <c r="F11" s="10" t="n">
        <v>110.95</v>
      </c>
      <c r="G11" s="12" t="n">
        <v>93.5</v>
      </c>
      <c r="H11" s="6" t="n">
        <v>4.14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2"/>
    <col collapsed="false" customWidth="true" hidden="false" outlineLevel="0" max="2" min="2" style="0" width="12.8"/>
    <col collapsed="false" customWidth="true" hidden="false" outlineLevel="0" max="3" min="3" style="0" width="13.6"/>
    <col collapsed="false" customWidth="true" hidden="false" outlineLevel="0" max="4" min="4" style="0" width="16.8"/>
    <col collapsed="false" customWidth="true" hidden="false" outlineLevel="0" max="5" min="5" style="0" width="12.8"/>
  </cols>
  <sheetData>
    <row r="1" customFormat="false" ht="31.5" hidden="false" customHeight="true" outlineLevel="0" collapsed="false">
      <c r="A1" s="15" t="s">
        <v>121</v>
      </c>
      <c r="B1" s="15" t="s">
        <v>104</v>
      </c>
      <c r="C1" s="15" t="s">
        <v>122</v>
      </c>
      <c r="D1" s="15" t="s">
        <v>110</v>
      </c>
      <c r="E1" s="15" t="s">
        <v>53</v>
      </c>
    </row>
    <row r="2" customFormat="false" ht="15" hidden="false" customHeight="false" outlineLevel="0" collapsed="false">
      <c r="A2" s="25" t="s">
        <v>123</v>
      </c>
      <c r="B2" s="25" t="n">
        <v>40399</v>
      </c>
      <c r="C2" s="25" t="n">
        <v>8.7</v>
      </c>
      <c r="D2" s="20" t="n">
        <v>95.5</v>
      </c>
      <c r="E2" s="25" t="n">
        <v>4.25</v>
      </c>
    </row>
    <row r="3" customFormat="false" ht="15" hidden="false" customHeight="false" outlineLevel="0" collapsed="false">
      <c r="A3" s="6" t="s">
        <v>124</v>
      </c>
      <c r="B3" s="6" t="n">
        <v>12310</v>
      </c>
      <c r="C3" s="6" t="n">
        <v>15.3</v>
      </c>
      <c r="D3" s="12" t="n">
        <v>87.9</v>
      </c>
      <c r="E3" s="6" t="n">
        <v>3.97</v>
      </c>
    </row>
    <row r="4" customFormat="false" ht="15" hidden="false" customHeight="false" outlineLevel="0" collapsed="false">
      <c r="A4" s="25" t="s">
        <v>125</v>
      </c>
      <c r="B4" s="25" t="n">
        <v>11319</v>
      </c>
      <c r="C4" s="25" t="n">
        <v>12</v>
      </c>
      <c r="D4" s="20" t="n">
        <v>95.4</v>
      </c>
      <c r="E4" s="25" t="n">
        <v>4.19</v>
      </c>
    </row>
    <row r="5" customFormat="false" ht="15" hidden="false" customHeight="false" outlineLevel="0" collapsed="false">
      <c r="A5" s="6" t="s">
        <v>126</v>
      </c>
      <c r="B5" s="6" t="n">
        <v>5327</v>
      </c>
      <c r="C5" s="6" t="n">
        <v>15.3</v>
      </c>
      <c r="D5" s="12" t="n">
        <v>93.9</v>
      </c>
      <c r="E5" s="6" t="n">
        <v>4.19</v>
      </c>
    </row>
    <row r="6" customFormat="false" ht="15" hidden="false" customHeight="false" outlineLevel="0" collapsed="false">
      <c r="A6" s="25" t="s">
        <v>127</v>
      </c>
      <c r="B6" s="25" t="n">
        <v>4903</v>
      </c>
      <c r="C6" s="25" t="n">
        <v>12</v>
      </c>
      <c r="D6" s="20" t="n">
        <v>95.9</v>
      </c>
      <c r="E6" s="25" t="n">
        <v>4.24</v>
      </c>
    </row>
    <row r="7" customFormat="false" ht="15" hidden="false" customHeight="false" outlineLevel="0" collapsed="false">
      <c r="A7" s="6" t="s">
        <v>128</v>
      </c>
      <c r="B7" s="6" t="n">
        <v>3537</v>
      </c>
      <c r="C7" s="6" t="n">
        <v>14.9</v>
      </c>
      <c r="D7" s="12" t="n">
        <v>91.8</v>
      </c>
      <c r="E7" s="6" t="n">
        <v>4.13</v>
      </c>
    </row>
    <row r="8" customFormat="false" ht="15" hidden="false" customHeight="false" outlineLevel="0" collapsed="false">
      <c r="A8" s="25" t="s">
        <v>129</v>
      </c>
      <c r="B8" s="25" t="n">
        <v>3253</v>
      </c>
      <c r="C8" s="25" t="n">
        <v>19.3</v>
      </c>
      <c r="D8" s="20" t="n">
        <v>87.8</v>
      </c>
      <c r="E8" s="25" t="n">
        <v>3.93</v>
      </c>
    </row>
    <row r="9" customFormat="false" ht="15" hidden="false" customHeight="false" outlineLevel="0" collapsed="false">
      <c r="A9" s="6" t="s">
        <v>130</v>
      </c>
      <c r="B9" s="6" t="n">
        <v>2074</v>
      </c>
      <c r="C9" s="6" t="n">
        <v>12.9</v>
      </c>
      <c r="D9" s="12" t="n">
        <v>94.3</v>
      </c>
      <c r="E9" s="6" t="n">
        <v>4.13</v>
      </c>
    </row>
    <row r="10" customFormat="false" ht="15" hidden="false" customHeight="false" outlineLevel="0" collapsed="false">
      <c r="A10" s="25" t="s">
        <v>131</v>
      </c>
      <c r="B10" s="25" t="n">
        <v>1992</v>
      </c>
      <c r="C10" s="25" t="n">
        <v>15.8</v>
      </c>
      <c r="D10" s="20" t="n">
        <v>89.3</v>
      </c>
      <c r="E10" s="25" t="n">
        <v>4.08</v>
      </c>
    </row>
    <row r="11" customFormat="false" ht="15" hidden="false" customHeight="false" outlineLevel="0" collapsed="false">
      <c r="A11" s="6" t="s">
        <v>132</v>
      </c>
      <c r="B11" s="6" t="n">
        <v>1950</v>
      </c>
      <c r="C11" s="6" t="n">
        <v>15.6</v>
      </c>
      <c r="D11" s="12" t="n">
        <v>93.4</v>
      </c>
      <c r="E11" s="6" t="n">
        <v>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32"/>
  </cols>
  <sheetData>
    <row r="1" customFormat="false" ht="31.5" hidden="false" customHeight="true" outlineLevel="0" collapsed="false">
      <c r="A1" s="15" t="s">
        <v>133</v>
      </c>
      <c r="B1" s="15" t="s">
        <v>134</v>
      </c>
      <c r="C1" s="15" t="s">
        <v>135</v>
      </c>
    </row>
    <row r="2" customFormat="false" ht="15" hidden="false" customHeight="false" outlineLevel="0" collapsed="false">
      <c r="A2" s="25" t="s">
        <v>136</v>
      </c>
      <c r="B2" s="25" t="n">
        <v>349</v>
      </c>
      <c r="C2" s="25" t="s">
        <v>137</v>
      </c>
    </row>
    <row r="3" customFormat="false" ht="15" hidden="false" customHeight="false" outlineLevel="0" collapsed="false">
      <c r="A3" s="6" t="s">
        <v>138</v>
      </c>
      <c r="B3" s="6" t="n">
        <v>775</v>
      </c>
      <c r="C3" s="6" t="s">
        <v>139</v>
      </c>
    </row>
    <row r="4" customFormat="false" ht="15" hidden="false" customHeight="false" outlineLevel="0" collapsed="false">
      <c r="A4" s="25" t="s">
        <v>140</v>
      </c>
      <c r="B4" s="25" t="n">
        <v>1</v>
      </c>
      <c r="C4" s="25" t="s">
        <v>141</v>
      </c>
    </row>
    <row r="5" customFormat="false" ht="15" hidden="false" customHeight="false" outlineLevel="0" collapsed="false">
      <c r="A5" s="6" t="s">
        <v>142</v>
      </c>
      <c r="B5" s="6" t="n">
        <v>249</v>
      </c>
      <c r="C5" s="6" t="s">
        <v>143</v>
      </c>
    </row>
    <row r="6" customFormat="false" ht="15" hidden="false" customHeight="false" outlineLevel="0" collapsed="false">
      <c r="A6" s="25" t="s">
        <v>144</v>
      </c>
      <c r="B6" s="25" t="n">
        <v>11</v>
      </c>
      <c r="C6" s="25" t="s">
        <v>145</v>
      </c>
    </row>
    <row r="7" customFormat="false" ht="15" hidden="false" customHeight="false" outlineLevel="0" collapsed="false">
      <c r="A7" s="6" t="s">
        <v>146</v>
      </c>
      <c r="B7" s="6" t="n">
        <v>551</v>
      </c>
      <c r="C7" s="6" t="s">
        <v>147</v>
      </c>
    </row>
    <row r="8" customFormat="false" ht="15" hidden="false" customHeight="false" outlineLevel="0" collapsed="false">
      <c r="A8" s="25" t="s">
        <v>148</v>
      </c>
      <c r="B8" s="25" t="n">
        <v>8</v>
      </c>
      <c r="C8" s="25" t="s">
        <v>149</v>
      </c>
    </row>
    <row r="9" customFormat="false" ht="15" hidden="false" customHeight="false" outlineLevel="0" collapsed="false">
      <c r="A9" s="6" t="s">
        <v>150</v>
      </c>
      <c r="B9" s="6" t="n">
        <v>1359</v>
      </c>
      <c r="C9" s="6" t="s">
        <v>151</v>
      </c>
    </row>
    <row r="10" customFormat="false" ht="15" hidden="false" customHeight="false" outlineLevel="0" collapsed="false">
      <c r="A10" s="25" t="s">
        <v>152</v>
      </c>
      <c r="B10" s="25" t="n">
        <v>610</v>
      </c>
      <c r="C10" s="25" t="s">
        <v>153</v>
      </c>
    </row>
    <row r="11" customFormat="false" ht="15" hidden="false" customHeight="false" outlineLevel="0" collapsed="false">
      <c r="A11" s="6" t="s">
        <v>154</v>
      </c>
      <c r="B11" s="6" t="n">
        <v>2</v>
      </c>
      <c r="C11" s="6" t="s">
        <v>155</v>
      </c>
    </row>
    <row r="12" customFormat="false" ht="15" hidden="false" customHeight="false" outlineLevel="0" collapsed="false">
      <c r="A12" s="25" t="s">
        <v>156</v>
      </c>
      <c r="B12" s="25" t="n">
        <v>60</v>
      </c>
      <c r="C12" s="25" t="s">
        <v>153</v>
      </c>
    </row>
    <row r="13" customFormat="false" ht="15" hidden="false" customHeight="false" outlineLevel="0" collapsed="false">
      <c r="A13" s="6" t="s">
        <v>157</v>
      </c>
      <c r="B13" s="6" t="n">
        <v>0</v>
      </c>
      <c r="C13" s="6" t="s">
        <v>158</v>
      </c>
    </row>
    <row r="14" customFormat="false" ht="15" hidden="false" customHeight="false" outlineLevel="0" collapsed="false">
      <c r="A14" s="25" t="s">
        <v>159</v>
      </c>
      <c r="B14" s="25" t="n">
        <v>1</v>
      </c>
      <c r="C14" s="2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31.5" hidden="false" customHeight="true" outlineLevel="0" collapsed="false">
      <c r="A1" s="15" t="s">
        <v>161</v>
      </c>
      <c r="B1" s="15" t="s">
        <v>162</v>
      </c>
    </row>
    <row r="2" customFormat="false" ht="15" hidden="false" customHeight="false" outlineLevel="0" collapsed="false">
      <c r="A2" s="25" t="s">
        <v>163</v>
      </c>
      <c r="B2" s="25" t="s">
        <v>164</v>
      </c>
    </row>
    <row r="3" customFormat="false" ht="15" hidden="false" customHeight="false" outlineLevel="0" collapsed="false">
      <c r="A3" s="6" t="s">
        <v>11</v>
      </c>
      <c r="B3" s="6" t="s">
        <v>165</v>
      </c>
    </row>
    <row r="4" customFormat="false" ht="15" hidden="false" customHeight="false" outlineLevel="0" collapsed="false">
      <c r="A4" s="25" t="s">
        <v>166</v>
      </c>
      <c r="B4" s="25" t="s">
        <v>167</v>
      </c>
    </row>
    <row r="5" customFormat="false" ht="15" hidden="false" customHeight="false" outlineLevel="0" collapsed="false">
      <c r="A5" s="6" t="s">
        <v>168</v>
      </c>
      <c r="B5" s="6" t="s">
        <v>169</v>
      </c>
    </row>
    <row r="6" customFormat="false" ht="15" hidden="false" customHeight="false" outlineLevel="0" collapsed="false">
      <c r="A6" s="25" t="s">
        <v>170</v>
      </c>
      <c r="B6" s="25" t="s">
        <v>171</v>
      </c>
    </row>
    <row r="7" customFormat="false" ht="15" hidden="false" customHeight="false" outlineLevel="0" collapsed="false">
      <c r="A7" s="6" t="s">
        <v>172</v>
      </c>
      <c r="B7" s="6" t="s">
        <v>173</v>
      </c>
    </row>
    <row r="8" customFormat="false" ht="15" hidden="false" customHeight="false" outlineLevel="0" collapsed="false">
      <c r="A8" s="25" t="s">
        <v>174</v>
      </c>
      <c r="B8" s="25" t="s">
        <v>175</v>
      </c>
    </row>
    <row r="9" customFormat="false" ht="15" hidden="false" customHeight="false" outlineLevel="0" collapsed="false">
      <c r="A9" s="6" t="s">
        <v>176</v>
      </c>
      <c r="B9" s="6" t="s">
        <v>177</v>
      </c>
    </row>
    <row r="10" customFormat="false" ht="15" hidden="false" customHeight="false" outlineLevel="0" collapsed="false">
      <c r="A10" s="25" t="s">
        <v>178</v>
      </c>
      <c r="B10" s="25" t="s">
        <v>179</v>
      </c>
    </row>
    <row r="11" customFormat="false" ht="15" hidden="false" customHeight="false" outlineLevel="0" collapsed="false">
      <c r="A11" s="6" t="s">
        <v>106</v>
      </c>
      <c r="B11" s="6" t="s">
        <v>180</v>
      </c>
    </row>
    <row r="12" customFormat="false" ht="15" hidden="false" customHeight="false" outlineLevel="0" collapsed="false">
      <c r="A12" s="25" t="s">
        <v>181</v>
      </c>
      <c r="B12" s="25" t="s">
        <v>182</v>
      </c>
    </row>
    <row r="13" customFormat="false" ht="15" hidden="false" customHeight="false" outlineLevel="0" collapsed="false">
      <c r="A13" s="6" t="s">
        <v>183</v>
      </c>
      <c r="B13" s="6" t="s">
        <v>184</v>
      </c>
    </row>
    <row r="14" customFormat="false" ht="15" hidden="false" customHeight="false" outlineLevel="0" collapsed="false">
      <c r="A14" s="25" t="s">
        <v>185</v>
      </c>
      <c r="B14" s="25" t="s">
        <v>186</v>
      </c>
    </row>
    <row r="15" customFormat="false" ht="15" hidden="false" customHeight="false" outlineLevel="0" collapsed="false">
      <c r="A15" s="6" t="s">
        <v>187</v>
      </c>
      <c r="B15" s="6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2026-10-14T20:26:21Z</dcterms:created>
  <dc:creator>openpyxl</dc:creator>
  <dc:description/>
  <dc:language>en-US</dc:language>
  <cp:lastModifiedBy/>
  <dcterms:modified xsi:type="dcterms:W3CDTF">2026-10-14T20:26:22Z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