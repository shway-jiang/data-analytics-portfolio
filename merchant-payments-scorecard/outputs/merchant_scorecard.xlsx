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corecard" sheetId="1" state="visible" r:id="rId3"/>
    <sheet name="Monthly Trend" sheetId="2" state="visible" r:id="rId4"/>
    <sheet name="Channels" sheetId="3" state="visible" r:id="rId5"/>
    <sheet name="Activation Speed" sheetId="4" state="visible" r:id="rId6"/>
    <sheet name="Industries" sheetId="5" state="visible" r:id="rId7"/>
    <sheet name="Products" sheetId="6" state="visible" r:id="rId8"/>
    <sheet name="Card Mix" sheetId="7" state="visible" r:id="rId9"/>
    <sheet name="Service Levels" sheetId="8" state="visible" r:id="rId10"/>
    <sheet name="Slow Tickets vs Churn" sheetId="9" state="visible" r:id="rId11"/>
    <sheet name="Data Quality" sheetId="10" state="visible" r:id="rId12"/>
    <sheet name="Definition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<sst xmlns="http://schemas.openxmlformats.org/spreadsheetml/2006/main" count="185" uniqueCount="143">
  <si>
    <t xml:space="preserve">Merchant Payments Scorecard</t>
  </si>
  <si>
    <t xml:space="preserve">Simulated data for a fictional Canadian merchant acquirer. Pick a month in C4 and the page updates.</t>
  </si>
  <si>
    <t xml:space="preserve">Month:</t>
  </si>
  <si>
    <t xml:space="preserve">2026-06</t>
  </si>
  <si>
    <t xml:space="preserve">KPI</t>
  </si>
  <si>
    <t xml:space="preserve">Selected month</t>
  </si>
  <si>
    <t xml:space="preserve">Prior month</t>
  </si>
  <si>
    <t xml:space="preserve">Change</t>
  </si>
  <si>
    <t xml:space="preserve">Avg of prior 6 months</t>
  </si>
  <si>
    <t xml:space="preserve">Vs 6-month avg</t>
  </si>
  <si>
    <t xml:space="preserve">Approved volume ($)</t>
  </si>
  <si>
    <t xml:space="preserve">Net revenue ($)</t>
  </si>
  <si>
    <t xml:space="preserve">Active merchants</t>
  </si>
  <si>
    <t xml:space="preserve">New merchants</t>
  </si>
  <si>
    <t xml:space="preserve">Closed merchants</t>
  </si>
  <si>
    <t xml:space="preserve">Approval rate %</t>
  </si>
  <si>
    <t xml:space="preserve">Average ticket ($)</t>
  </si>
  <si>
    <t xml:space="preserve">Revenue per active merchant ($)</t>
  </si>
  <si>
    <t xml:space="preserve">Chargeback rate %</t>
  </si>
  <si>
    <t xml:space="preserve">Tickets within 48h SLA %</t>
  </si>
  <si>
    <t xml:space="preserve">Average CSAT (1-5)</t>
  </si>
  <si>
    <t xml:space="preserve">Green = better for the business, red = worse. Metric definitions are on the 'Definitions' sheet.</t>
  </si>
  <si>
    <t xml:space="preserve">Month</t>
  </si>
  <si>
    <t xml:space="preserve">Volume MoM %</t>
  </si>
  <si>
    <t xml:space="preserve">Approved transactions</t>
  </si>
  <si>
    <t xml:space="preserve">Revenue MoM %</t>
  </si>
  <si>
    <t xml:space="preserve">Resolved support tickets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</si>
  <si>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</si>
  <si>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</si>
  <si>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</si>
  <si>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</si>
  <si>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</si>
  <si>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</si>
  <si>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</si>
  <si>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</si>
  <si>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</si>
  <si>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</si>
  <si>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</si>
  <si>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</si>
  <si>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</si>
  <si>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</si>
  <si>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</si>
  <si>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</si>
  <si>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</si>
  <si>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Sales channel</t>
  </si>
  <si>
    <t xml:space="preserve">Applications</t>
  </si>
  <si>
    <t xml:space="preserve">Approval rate pct</t>
  </si>
  <si>
    <t xml:space="preserve">Avg days to decision</t>
  </si>
  <si>
    <t xml:space="preserve">Activated within 30d pct</t>
  </si>
  <si>
    <t xml:space="preserve">Median days to first txn</t>
  </si>
  <si>
    <t xml:space="preserve">Retained 6m pct</t>
  </si>
  <si>
    <t xml:space="preserve">Revenue per active month</t>
  </si>
  <si>
    <t xml:space="preserve">Direct Sales</t>
  </si>
  <si>
    <t xml:space="preserve">Bank Partner Referral</t>
  </si>
  <si>
    <t xml:space="preserve">ISO Partner</t>
  </si>
  <si>
    <t xml:space="preserve">Online Self-Signup</t>
  </si>
  <si>
    <t xml:space="preserve">Time to first txn</t>
  </si>
  <si>
    <t xml:space="preserve">Merchants</t>
  </si>
  <si>
    <t xml:space="preserve">1) 0-7 days</t>
  </si>
  <si>
    <t xml:space="preserve">2) 8-14 days</t>
  </si>
  <si>
    <t xml:space="preserve">3) 15+ days</t>
  </si>
  <si>
    <t xml:space="preserve">Industry</t>
  </si>
  <si>
    <t xml:space="preserve">Approved volume</t>
  </si>
  <si>
    <t xml:space="preserve">Volume share pct</t>
  </si>
  <si>
    <t xml:space="preserve">Net revenue</t>
  </si>
  <si>
    <t xml:space="preserve">Revenue share pct</t>
  </si>
  <si>
    <t xml:space="preserve">Avg ticket</t>
  </si>
  <si>
    <t xml:space="preserve">Chargeback rate pct</t>
  </si>
  <si>
    <t xml:space="preserve">Revenue per merchant month</t>
  </si>
  <si>
    <t xml:space="preserve">Restaurants</t>
  </si>
  <si>
    <t xml:space="preserve">Retail</t>
  </si>
  <si>
    <t xml:space="preserve">Grocery &amp; Convenience</t>
  </si>
  <si>
    <t xml:space="preserve">E-commerce</t>
  </si>
  <si>
    <t xml:space="preserve">Automotive</t>
  </si>
  <si>
    <t xml:space="preserve">Hospitality</t>
  </si>
  <si>
    <t xml:space="preserve">Professional Services</t>
  </si>
  <si>
    <t xml:space="preserve">Health &amp; Beauty</t>
  </si>
  <si>
    <t xml:space="preserve">Product</t>
  </si>
  <si>
    <t xml:space="preserve">Tickets per 100 merchant months</t>
  </si>
  <si>
    <t xml:space="preserve">Countertop Terminal</t>
  </si>
  <si>
    <t xml:space="preserve">Mobile POS</t>
  </si>
  <si>
    <t xml:space="preserve">Online Gateway</t>
  </si>
  <si>
    <t xml:space="preserve">Card type</t>
  </si>
  <si>
    <t xml:space="preserve">Processing revenue share pct</t>
  </si>
  <si>
    <t xml:space="preserve">Interac Debit</t>
  </si>
  <si>
    <t xml:space="preserve">Visa</t>
  </si>
  <si>
    <t xml:space="preserve">Mastercard</t>
  </si>
  <si>
    <t xml:space="preserve">Amex</t>
  </si>
  <si>
    <t xml:space="preserve">Category</t>
  </si>
  <si>
    <t xml:space="preserve">Period</t>
  </si>
  <si>
    <t xml:space="preserve">Resolved tickets</t>
  </si>
  <si>
    <t xml:space="preserve">Avg resolution hours</t>
  </si>
  <si>
    <t xml:space="preserve">Pct within 48h sla</t>
  </si>
  <si>
    <t xml:space="preserve">Avg csat</t>
  </si>
  <si>
    <t xml:space="preserve">Account change</t>
  </si>
  <si>
    <t xml:space="preserve">Other months</t>
  </si>
  <si>
    <t xml:space="preserve">Mar-Apr 2026</t>
  </si>
  <si>
    <t xml:space="preserve">Chargeback</t>
  </si>
  <si>
    <t xml:space="preserve">Funding / deposit</t>
  </si>
  <si>
    <t xml:space="preserve">Onboarding help</t>
  </si>
  <si>
    <t xml:space="preserve">Terminal issue</t>
  </si>
  <si>
    <t xml:space="preserve">Ticket experience</t>
  </si>
  <si>
    <t xml:space="preserve">Merchant months</t>
  </si>
  <si>
    <t xml:space="preserve">Closed within 3 months pct</t>
  </si>
  <si>
    <t xml:space="preserve">Had a ticket over 48h</t>
  </si>
  <si>
    <t xml:space="preserve">No slow ticket</t>
  </si>
  <si>
    <t xml:space="preserve">Check name</t>
  </si>
  <si>
    <t xml:space="preserve">Failing rows</t>
  </si>
  <si>
    <t xml:space="preserve">Action</t>
  </si>
  <si>
    <t xml:space="preserve">Duplicate merchant records</t>
  </si>
  <si>
    <t xml:space="preserve">Keep one copy</t>
  </si>
  <si>
    <t xml:space="preserve">Merchant missing province</t>
  </si>
  <si>
    <t xml:space="preserve">Report as "Unknown"</t>
  </si>
  <si>
    <t xml:space="preserve">Industry label not on approved list</t>
  </si>
  <si>
    <t xml:space="preserve">Map to the standard label</t>
  </si>
  <si>
    <t xml:space="preserve">First transaction before approval</t>
  </si>
  <si>
    <t xml:space="preserve">Investigate if &gt; 0</t>
  </si>
  <si>
    <t xml:space="preserve">Declined merchant with transactions</t>
  </si>
  <si>
    <t xml:space="preserve">Duplicate monthly volume rows</t>
  </si>
  <si>
    <t xml:space="preserve">Volume rows with unknown merchant</t>
  </si>
  <si>
    <t xml:space="preserve">Volume rows failing logic checks</t>
  </si>
  <si>
    <t xml:space="preserve">Ticket resolved before opened</t>
  </si>
  <si>
    <t xml:space="preserve">Exclude from service-level metrics</t>
  </si>
  <si>
    <t xml:space="preserve">CSAT score outside 1-5</t>
  </si>
  <si>
    <t xml:space="preserve">Exclude from CSAT</t>
  </si>
  <si>
    <t xml:space="preserve">Metric</t>
  </si>
  <si>
    <t xml:space="preserve">Definition</t>
  </si>
  <si>
    <t xml:space="preserve">Active merchant</t>
  </si>
  <si>
    <t xml:space="preserve">A merchant with at least one approved transaction in the month.</t>
  </si>
  <si>
    <t xml:space="preserve">Dollar value of approved card transactions (before refunds).</t>
  </si>
  <si>
    <t xml:space="preserve">Approval rate</t>
  </si>
  <si>
    <t xml:space="preserve">Approved transactions ÷ attempted transactions.</t>
  </si>
  <si>
    <t xml:space="preserve">Processing margin (rate by pricing plan and card type) + monthly platform fee per active merchant.</t>
  </si>
  <si>
    <t xml:space="preserve">Chargeback rate</t>
  </si>
  <si>
    <t xml:space="preserve">Chargebacks ÷ approved credit-card transactions (debit excluded).</t>
  </si>
  <si>
    <t xml:space="preserve">Within 48h SLA</t>
  </si>
  <si>
    <t xml:space="preserve">Share of resolved tickets closed within 48 hours of opening. Tickets with invalid timestamps are excluded.</t>
  </si>
  <si>
    <t xml:space="preserve">CSAT</t>
  </si>
  <si>
    <t xml:space="preserve">Average 1-5 survey score from merchants who answered the post-ticket survey.</t>
  </si>
  <si>
    <t xml:space="preserve">Activated within 30 days</t>
  </si>
  <si>
    <t xml:space="preserve">Approved merchants whose first transaction came within 30 days of approval.</t>
  </si>
  <si>
    <t xml:space="preserve">Retained 6 months</t>
  </si>
  <si>
    <t xml:space="preserve">Activated merchants whose account was still open 6 months after their first transaction.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</si>
</sst>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+0.0%;\-0.0%;0.0%"/>
    <numFmt numFmtId="167" formatCode="#,##0"/>
    <numFmt numFmtId="168" formatCode="0.00\%"/>
    <numFmt numFmtId="169" formatCode="\$#,##0.00"/>
    <numFmt numFmtId="170" formatCode="0.000\%"/>
    <numFmt numFmtId="171" formatCode="0.0\%"/>
    <numFmt numFmtId="172" formatCode="0.00"/>
    <numFmt numFmtId="173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C"/>
        <bgColor rgb="FFEEF3F9"/>
      </patternFill>
    </fill>
    <fill>
      <patternFill patternType="solid">
        <fgColor rgb="FF1F3A5F"/>
        <bgColor rgb="FF333333"/>
      </patternFill>
    </fill>
    <fill>
      <patternFill patternType="solid">
        <fgColor rgb="FFEEF3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3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1E7B34"/>
      </font>
    </dxf>
    <dxf>
      <font>
        <b val="1"/>
        <color rgb="FFB4231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EF3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B423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20"/>
    <col collapsed="false" customWidth="true" hidden="false" outlineLevel="0" max="7" min="7" style="0" width="1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</row>
    <row r="6" customFormat="false" ht="30" hidden="false" customHeight="true" outlineLevel="0" collapsed="false"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  <c r="G6" s="5" t="s">
        <v>9</v>
      </c>
    </row>
    <row r="7" customFormat="false" ht="15" hidden="false" customHeight="false" outlineLevel="0" collapsed="false">
      <c r="B7" s="6" t="s">
        <v>10</v>
      </c>
      <c r="C7" s="7" t="n">
        <f aca="false">INDEX('Monthly Trend'!$E$2:$E$19,MATCH($C$4,'Monthly Trend'!$A$2:$A$19,0))</f>
        <v>59231664</v>
      </c>
      <c r="D7" s="7" t="n">
        <f aca="false">IF(MATCH($C$4,'Monthly Trend'!$A$2:$A$19,0)&gt;1,INDEX('Monthly Trend'!$E$2:$E$19,MATCH($C$4,'Monthly Trend'!$A$2:$A$19,0)-1),"")</f>
        <v>53377032</v>
      </c>
      <c r="E7" s="8" t="n">
        <f aca="false">IF(D7="","",IFERROR(C7/D7-1,""))</f>
        <v>0.109684480021295</v>
      </c>
      <c r="F7" s="7" t="n">
        <f aca="true">IF(MATCH($C$4,'Monthly Trend'!$A$2:$A$19,0)&gt;6,AVERAGE(OFFSET('Monthly Trend'!$E$2,MATCH($C$4,'Monthly Trend'!$A$2:$A$19,0)-7,0,6,1)),"")</f>
        <v>42845400.3333333</v>
      </c>
      <c r="G7" s="8" t="n">
        <f aca="false">IF(F7="","",IFERROR(C7/F7-1,""))</f>
        <v>0.382450940805384</v>
      </c>
    </row>
    <row r="8" customFormat="false" ht="15" hidden="false" customHeight="false" outlineLevel="0" collapsed="false">
      <c r="B8" s="6" t="s">
        <v>11</v>
      </c>
      <c r="C8" s="7" t="n">
        <f aca="false">INDEX('Monthly Trend'!$J$2:$J$19,MATCH($C$4,'Monthly Trend'!$A$2:$A$19,0))</f>
        <v>300164</v>
      </c>
      <c r="D8" s="7" t="n">
        <f aca="false">IF(MATCH($C$4,'Monthly Trend'!$A$2:$A$19,0)&gt;1,INDEX('Monthly Trend'!$J$2:$J$19,MATCH($C$4,'Monthly Trend'!$A$2:$A$19,0)-1),"")</f>
        <v>272040</v>
      </c>
      <c r="E8" s="8" t="n">
        <f aca="false">IF(D8="","",IFERROR(C8/D8-1,""))</f>
        <v>0.103381855609469</v>
      </c>
      <c r="F8" s="7" t="n">
        <f aca="true">IF(MATCH($C$4,'Monthly Trend'!$A$2:$A$19,0)&gt;6,AVERAGE(OFFSET('Monthly Trend'!$J$2,MATCH($C$4,'Monthly Trend'!$A$2:$A$19,0)-7,0,6,1)),"")</f>
        <v>222787.166666667</v>
      </c>
      <c r="G8" s="8" t="n">
        <f aca="false">IF(F8="","",IFERROR(C8/F8-1,""))</f>
        <v>0.347312794049328</v>
      </c>
    </row>
    <row r="9" customFormat="false" ht="15" hidden="false" customHeight="false" outlineLevel="0" collapsed="false">
      <c r="B9" s="6" t="s">
        <v>12</v>
      </c>
      <c r="C9" s="9" t="n">
        <f aca="false">INDEX('Monthly Trend'!$B$2:$B$19,MATCH($C$4,'Monthly Trend'!$A$2:$A$19,0))</f>
        <v>1311</v>
      </c>
      <c r="D9" s="9" t="n">
        <f aca="false">IF(MATCH($C$4,'Monthly Trend'!$A$2:$A$19,0)&gt;1,INDEX('Monthly Trend'!$B$2:$B$19,MATCH($C$4,'Monthly Trend'!$A$2:$A$19,0)-1),"")</f>
        <v>1198</v>
      </c>
      <c r="E9" s="8" t="n">
        <f aca="false">IF(D9="","",IFERROR(C9/D9-1,""))</f>
        <v>0.0943238731218699</v>
      </c>
      <c r="F9" s="9" t="n">
        <f aca="true">IF(MATCH($C$4,'Monthly Trend'!$A$2:$A$19,0)&gt;6,AVERAGE(OFFSET('Monthly Trend'!$B$2,MATCH($C$4,'Monthly Trend'!$A$2:$A$19,0)-7,0,6,1)),"")</f>
        <v>995.333333333333</v>
      </c>
      <c r="G9" s="8" t="n">
        <f aca="false">IF(F9="","",IFERROR(C9/F9-1,""))</f>
        <v>0.317146684527796</v>
      </c>
    </row>
    <row r="10" customFormat="false" ht="15" hidden="false" customHeight="false" outlineLevel="0" collapsed="false">
      <c r="B10" s="6" t="s">
        <v>13</v>
      </c>
      <c r="C10" s="9" t="n">
        <f aca="false">INDEX('Monthly Trend'!$C$2:$C$19,MATCH($C$4,'Monthly Trend'!$A$2:$A$19,0))</f>
        <v>134</v>
      </c>
      <c r="D10" s="9" t="n">
        <f aca="false">IF(MATCH($C$4,'Monthly Trend'!$A$2:$A$19,0)&gt;1,INDEX('Monthly Trend'!$C$2:$C$19,MATCH($C$4,'Monthly Trend'!$A$2:$A$19,0)-1),"")</f>
        <v>122</v>
      </c>
      <c r="E10" s="8" t="n">
        <f aca="false">IF(D10="","",IFERROR(C10/D10-1,""))</f>
        <v>0.098360655737705</v>
      </c>
      <c r="F10" s="9" t="n">
        <f aca="true">IF(MATCH($C$4,'Monthly Trend'!$A$2:$A$19,0)&gt;6,AVERAGE(OFFSET('Monthly Trend'!$C$2,MATCH($C$4,'Monthly Trend'!$A$2:$A$19,0)-7,0,6,1)),"")</f>
        <v>91.8333333333333</v>
      </c>
      <c r="G10" s="8" t="n">
        <f aca="false">IF(F10="","",IFERROR(C10/F10-1,""))</f>
        <v>0.459165154264973</v>
      </c>
    </row>
    <row r="11" customFormat="false" ht="15" hidden="false" customHeight="false" outlineLevel="0" collapsed="false">
      <c r="B11" s="6" t="s">
        <v>14</v>
      </c>
      <c r="C11" s="9" t="n">
        <f aca="false">INDEX('Monthly Trend'!$D$2:$D$19,MATCH($C$4,'Monthly Trend'!$A$2:$A$19,0))</f>
        <v>27</v>
      </c>
      <c r="D11" s="9" t="n">
        <f aca="false">IF(MATCH($C$4,'Monthly Trend'!$A$2:$A$19,0)&gt;1,INDEX('Monthly Trend'!$D$2:$D$19,MATCH($C$4,'Monthly Trend'!$A$2:$A$19,0)-1),"")</f>
        <v>22</v>
      </c>
      <c r="E11" s="8" t="n">
        <f aca="false">IF(D11="","",IFERROR(C11/D11-1,""))</f>
        <v>0.227272727272727</v>
      </c>
      <c r="F11" s="9" t="n">
        <f aca="true">IF(MATCH($C$4,'Monthly Trend'!$A$2:$A$19,0)&gt;6,AVERAGE(OFFSET('Monthly Trend'!$D$2,MATCH($C$4,'Monthly Trend'!$A$2:$A$19,0)-7,0,6,1)),"")</f>
        <v>21.3333333333333</v>
      </c>
      <c r="G11" s="8" t="n">
        <f aca="false">IF(F11="","",IFERROR(C11/F11-1,""))</f>
        <v>0.265625</v>
      </c>
    </row>
    <row r="12" customFormat="false" ht="15" hidden="false" customHeight="false" outlineLevel="0" collapsed="false">
      <c r="B12" s="6" t="s">
        <v>15</v>
      </c>
      <c r="C12" s="10" t="n">
        <f aca="false">INDEX('Monthly Trend'!$I$2:$I$19,MATCH($C$4,'Monthly Trend'!$A$2:$A$19,0))</f>
        <v>96.12</v>
      </c>
      <c r="D12" s="10" t="n">
        <f aca="false">IF(MATCH($C$4,'Monthly Trend'!$A$2:$A$19,0)&gt;1,INDEX('Monthly Trend'!$I$2:$I$19,MATCH($C$4,'Monthly Trend'!$A$2:$A$19,0)-1),"")</f>
        <v>96.14</v>
      </c>
      <c r="E12" s="8" t="n">
        <f aca="false">IF(D12="","",IFERROR(C12/D12-1,""))</f>
        <v>-0.000208029956313638</v>
      </c>
      <c r="F12" s="10" t="n">
        <f aca="true">IF(MATCH($C$4,'Monthly Trend'!$A$2:$A$19,0)&gt;6,AVERAGE(OFFSET('Monthly Trend'!$I$2,MATCH($C$4,'Monthly Trend'!$A$2:$A$19,0)-7,0,6,1)),"")</f>
        <v>96.12</v>
      </c>
      <c r="G12" s="8" t="n">
        <f aca="false">IF(F12="","",IFERROR(C12/F12-1,""))</f>
        <v>0</v>
      </c>
    </row>
    <row r="13" customFormat="false" ht="15" hidden="false" customHeight="false" outlineLevel="0" collapsed="false">
      <c r="B13" s="6" t="s">
        <v>16</v>
      </c>
      <c r="C13" s="11" t="n">
        <f aca="false">INDEX('Monthly Trend'!$H$2:$H$19,MATCH($C$4,'Monthly Trend'!$A$2:$A$19,0))</f>
        <v>64.3</v>
      </c>
      <c r="D13" s="11" t="n">
        <f aca="false">IF(MATCH($C$4,'Monthly Trend'!$A$2:$A$19,0)&gt;1,INDEX('Monthly Trend'!$H$2:$H$19,MATCH($C$4,'Monthly Trend'!$A$2:$A$19,0)-1),"")</f>
        <v>64.58</v>
      </c>
      <c r="E13" s="8" t="n">
        <f aca="false">IF(D13="","",IFERROR(C13/D13-1,""))</f>
        <v>-0.00433570764942703</v>
      </c>
      <c r="F13" s="11" t="n">
        <f aca="true">IF(MATCH($C$4,'Monthly Trend'!$A$2:$A$19,0)&gt;6,AVERAGE(OFFSET('Monthly Trend'!$H$2,MATCH($C$4,'Monthly Trend'!$A$2:$A$19,0)-7,0,6,1)),"")</f>
        <v>64.665</v>
      </c>
      <c r="G13" s="8" t="n">
        <f aca="false">IF(F13="","",IFERROR(C13/F13-1,""))</f>
        <v>-0.00564447537307677</v>
      </c>
    </row>
    <row r="14" customFormat="false" ht="15" hidden="false" customHeight="false" outlineLevel="0" collapsed="false">
      <c r="B14" s="6" t="s">
        <v>17</v>
      </c>
      <c r="C14" s="11" t="n">
        <f aca="false">INDEX('Monthly Trend'!$L$2:$L$19,MATCH($C$4,'Monthly Trend'!$A$2:$A$19,0))</f>
        <v>228.96</v>
      </c>
      <c r="D14" s="11" t="n">
        <f aca="false">IF(MATCH($C$4,'Monthly Trend'!$A$2:$A$19,0)&gt;1,INDEX('Monthly Trend'!$L$2:$L$19,MATCH($C$4,'Monthly Trend'!$A$2:$A$19,0)-1),"")</f>
        <v>227.08</v>
      </c>
      <c r="E14" s="8" t="n">
        <f aca="false">IF(D14="","",IFERROR(C14/D14-1,""))</f>
        <v>0.00827902060947672</v>
      </c>
      <c r="F14" s="11" t="n">
        <f aca="true">IF(MATCH($C$4,'Monthly Trend'!$A$2:$A$19,0)&gt;6,AVERAGE(OFFSET('Monthly Trend'!$L$2,MATCH($C$4,'Monthly Trend'!$A$2:$A$19,0)-7,0,6,1)),"")</f>
        <v>224.461666666667</v>
      </c>
      <c r="G14" s="8" t="n">
        <f aca="false">IF(F14="","",IFERROR(C14/F14-1,""))</f>
        <v>0.020040541443602</v>
      </c>
    </row>
    <row r="15" customFormat="false" ht="15" hidden="false" customHeight="false" outlineLevel="0" collapsed="false">
      <c r="B15" s="6" t="s">
        <v>18</v>
      </c>
      <c r="C15" s="12" t="n">
        <f aca="false">INDEX('Monthly Trend'!$M$2:$M$19,MATCH($C$4,'Monthly Trend'!$A$2:$A$19,0))</f>
        <v>0.097</v>
      </c>
      <c r="D15" s="12" t="n">
        <f aca="false">IF(MATCH($C$4,'Monthly Trend'!$A$2:$A$19,0)&gt;1,INDEX('Monthly Trend'!$M$2:$M$19,MATCH($C$4,'Monthly Trend'!$A$2:$A$19,0)-1),"")</f>
        <v>0.106</v>
      </c>
      <c r="E15" s="8" t="n">
        <f aca="false">IF(D15="","",IFERROR(C15/D15-1,""))</f>
        <v>-0.0849056603773585</v>
      </c>
      <c r="F15" s="12" t="n">
        <f aca="true">IF(MATCH($C$4,'Monthly Trend'!$A$2:$A$19,0)&gt;6,AVERAGE(OFFSET('Monthly Trend'!$M$2,MATCH($C$4,'Monthly Trend'!$A$2:$A$19,0)-7,0,6,1)),"")</f>
        <v>0.1025</v>
      </c>
      <c r="G15" s="8" t="n">
        <f aca="false">IF(F15="","",IFERROR(C15/F15-1,""))</f>
        <v>-0.0536585365853658</v>
      </c>
    </row>
    <row r="16" customFormat="false" ht="15" hidden="false" customHeight="false" outlineLevel="0" collapsed="false">
      <c r="B16" s="6" t="s">
        <v>19</v>
      </c>
      <c r="C16" s="13" t="n">
        <f aca="false">INDEX('Monthly Trend'!$O$2:$O$19,MATCH($C$4,'Monthly Trend'!$A$2:$A$19,0))</f>
        <v>89.9</v>
      </c>
      <c r="D16" s="13" t="n">
        <f aca="false">IF(MATCH($C$4,'Monthly Trend'!$A$2:$A$19,0)&gt;1,INDEX('Monthly Trend'!$O$2:$O$19,MATCH($C$4,'Monthly Trend'!$A$2:$A$19,0)-1),"")</f>
        <v>86.4</v>
      </c>
      <c r="E16" s="8" t="n">
        <f aca="false">IF(D16="","",IFERROR(C16/D16-1,""))</f>
        <v>0.0405092592592593</v>
      </c>
      <c r="F16" s="13" t="n">
        <f aca="true">IF(MATCH($C$4,'Monthly Trend'!$A$2:$A$19,0)&gt;6,AVERAGE(OFFSET('Monthly Trend'!$O$2,MATCH($C$4,'Monthly Trend'!$A$2:$A$19,0)-7,0,6,1)),"")</f>
        <v>75.7166666666667</v>
      </c>
      <c r="G16" s="8" t="n">
        <f aca="false">IF(F16="","",IFERROR(C16/F16-1,""))</f>
        <v>0.187321153422848</v>
      </c>
    </row>
    <row r="17" customFormat="false" ht="15" hidden="false" customHeight="false" outlineLevel="0" collapsed="false">
      <c r="B17" s="6" t="s">
        <v>20</v>
      </c>
      <c r="C17" s="14" t="n">
        <f aca="false">INDEX('Monthly Trend'!$P$2:$P$19,MATCH($C$4,'Monthly Trend'!$A$2:$A$19,0))</f>
        <v>4.32</v>
      </c>
      <c r="D17" s="14" t="n">
        <f aca="false">IF(MATCH($C$4,'Monthly Trend'!$A$2:$A$19,0)&gt;1,INDEX('Monthly Trend'!$P$2:$P$19,MATCH($C$4,'Monthly Trend'!$A$2:$A$19,0)-1),"")</f>
        <v>4</v>
      </c>
      <c r="E17" s="8" t="n">
        <f aca="false">IF(D17="","",IFERROR(C17/D17-1,""))</f>
        <v>0.0800000000000001</v>
      </c>
      <c r="F17" s="14" t="n">
        <f aca="true">IF(MATCH($C$4,'Monthly Trend'!$A$2:$A$19,0)&gt;6,AVERAGE(OFFSET('Monthly Trend'!$P$2,MATCH($C$4,'Monthly Trend'!$A$2:$A$19,0)-7,0,6,1)),"")</f>
        <v>3.87</v>
      </c>
      <c r="G17" s="8" t="n">
        <f aca="false">IF(F17="","",IFERROR(C17/F17-1,""))</f>
        <v>0.116279069767442</v>
      </c>
    </row>
    <row r="19" customFormat="false" ht="15" hidden="false" customHeight="false" outlineLevel="0" collapsed="false">
      <c r="B19" s="2" t="s">
        <v>21</v>
      </c>
    </row>
  </sheetData>
  <conditionalFormatting sqref="E7">
    <cfRule type="cellIs" priority="2" operator="greaterThan" aboveAverage="0" equalAverage="0" bottom="0" percent="0" rank="0" text="" dxfId="0">
      <formula>0.0001</formula>
    </cfRule>
    <cfRule type="cellIs" priority="3" operator="lessThan" aboveAverage="0" equalAverage="0" bottom="0" percent="0" rank="0" text="" dxfId="1">
      <formula>-0.0001</formula>
    </cfRule>
  </conditionalFormatting>
  <conditionalFormatting sqref="G7">
    <cfRule type="cellIs" priority="4" operator="greaterThan" aboveAverage="0" equalAverage="0" bottom="0" percent="0" rank="0" text="" dxfId="0">
      <formula>0.0001</formula>
    </cfRule>
    <cfRule type="cellIs" priority="5" operator="lessThan" aboveAverage="0" equalAverage="0" bottom="0" percent="0" rank="0" text="" dxfId="1">
      <formula>-0.0001</formula>
    </cfRule>
  </conditionalFormatting>
  <conditionalFormatting sqref="E8">
    <cfRule type="cellIs" priority="6" operator="greaterThan" aboveAverage="0" equalAverage="0" bottom="0" percent="0" rank="0" text="" dxfId="0">
      <formula>0.0001</formula>
    </cfRule>
    <cfRule type="cellIs" priority="7" operator="lessThan" aboveAverage="0" equalAverage="0" bottom="0" percent="0" rank="0" text="" dxfId="1">
      <formula>-0.0001</formula>
    </cfRule>
  </conditionalFormatting>
  <conditionalFormatting sqref="G8">
    <cfRule type="cellIs" priority="8" operator="greaterThan" aboveAverage="0" equalAverage="0" bottom="0" percent="0" rank="0" text="" dxfId="0">
      <formula>0.0001</formula>
    </cfRule>
    <cfRule type="cellIs" priority="9" operator="lessThan" aboveAverage="0" equalAverage="0" bottom="0" percent="0" rank="0" text="" dxfId="1">
      <formula>-0.0001</formula>
    </cfRule>
  </conditionalFormatting>
  <conditionalFormatting sqref="E9">
    <cfRule type="cellIs" priority="10" operator="greaterThan" aboveAverage="0" equalAverage="0" bottom="0" percent="0" rank="0" text="" dxfId="0">
      <formula>0.0001</formula>
    </cfRule>
    <cfRule type="cellIs" priority="11" operator="lessThan" aboveAverage="0" equalAverage="0" bottom="0" percent="0" rank="0" text="" dxfId="1">
      <formula>-0.0001</formula>
    </cfRule>
  </conditionalFormatting>
  <conditionalFormatting sqref="G9">
    <cfRule type="cellIs" priority="12" operator="greaterThan" aboveAverage="0" equalAverage="0" bottom="0" percent="0" rank="0" text="" dxfId="0">
      <formula>0.0001</formula>
    </cfRule>
    <cfRule type="cellIs" priority="13" operator="lessThan" aboveAverage="0" equalAverage="0" bottom="0" percent="0" rank="0" text="" dxfId="1">
      <formula>-0.0001</formula>
    </cfRule>
  </conditionalFormatting>
  <conditionalFormatting sqref="E10">
    <cfRule type="cellIs" priority="14" operator="greaterThan" aboveAverage="0" equalAverage="0" bottom="0" percent="0" rank="0" text="" dxfId="0">
      <formula>0.0001</formula>
    </cfRule>
    <cfRule type="cellIs" priority="15" operator="lessThan" aboveAverage="0" equalAverage="0" bottom="0" percent="0" rank="0" text="" dxfId="1">
      <formula>-0.0001</formula>
    </cfRule>
  </conditionalFormatting>
  <conditionalFormatting sqref="G10">
    <cfRule type="cellIs" priority="16" operator="greaterThan" aboveAverage="0" equalAverage="0" bottom="0" percent="0" rank="0" text="" dxfId="0">
      <formula>0.0001</formula>
    </cfRule>
    <cfRule type="cellIs" priority="17" operator="lessThan" aboveAverage="0" equalAverage="0" bottom="0" percent="0" rank="0" text="" dxfId="1">
      <formula>-0.0001</formula>
    </cfRule>
  </conditionalFormatting>
  <conditionalFormatting sqref="E11">
    <cfRule type="cellIs" priority="18" operator="lessThan" aboveAverage="0" equalAverage="0" bottom="0" percent="0" rank="0" text="" dxfId="0">
      <formula>-0.0001</formula>
    </cfRule>
    <cfRule type="cellIs" priority="19" operator="greaterThan" aboveAverage="0" equalAverage="0" bottom="0" percent="0" rank="0" text="" dxfId="1">
      <formula>0.0001</formula>
    </cfRule>
  </conditionalFormatting>
  <conditionalFormatting sqref="G11">
    <cfRule type="cellIs" priority="20" operator="lessThan" aboveAverage="0" equalAverage="0" bottom="0" percent="0" rank="0" text="" dxfId="0">
      <formula>-0.0001</formula>
    </cfRule>
    <cfRule type="cellIs" priority="21" operator="greaterThan" aboveAverage="0" equalAverage="0" bottom="0" percent="0" rank="0" text="" dxfId="1">
      <formula>0.0001</formula>
    </cfRule>
  </conditionalFormatting>
  <conditionalFormatting sqref="E12">
    <cfRule type="cellIs" priority="22" operator="greaterThan" aboveAverage="0" equalAverage="0" bottom="0" percent="0" rank="0" text="" dxfId="0">
      <formula>0.0001</formula>
    </cfRule>
    <cfRule type="cellIs" priority="23" operator="lessThan" aboveAverage="0" equalAverage="0" bottom="0" percent="0" rank="0" text="" dxfId="1">
      <formula>-0.0001</formula>
    </cfRule>
  </conditionalFormatting>
  <conditionalFormatting sqref="G12">
    <cfRule type="cellIs" priority="24" operator="greaterThan" aboveAverage="0" equalAverage="0" bottom="0" percent="0" rank="0" text="" dxfId="0">
      <formula>0.0001</formula>
    </cfRule>
    <cfRule type="cellIs" priority="25" operator="lessThan" aboveAverage="0" equalAverage="0" bottom="0" percent="0" rank="0" text="" dxfId="1">
      <formula>-0.0001</formula>
    </cfRule>
  </conditionalFormatting>
  <conditionalFormatting sqref="E13">
    <cfRule type="cellIs" priority="26" operator="greaterThan" aboveAverage="0" equalAverage="0" bottom="0" percent="0" rank="0" text="" dxfId="0">
      <formula>0.0001</formula>
    </cfRule>
    <cfRule type="cellIs" priority="27" operator="lessThan" aboveAverage="0" equalAverage="0" bottom="0" percent="0" rank="0" text="" dxfId="1">
      <formula>-0.0001</formula>
    </cfRule>
  </conditionalFormatting>
  <conditionalFormatting sqref="G13">
    <cfRule type="cellIs" priority="28" operator="greaterThan" aboveAverage="0" equalAverage="0" bottom="0" percent="0" rank="0" text="" dxfId="0">
      <formula>0.0001</formula>
    </cfRule>
    <cfRule type="cellIs" priority="29" operator="lessThan" aboveAverage="0" equalAverage="0" bottom="0" percent="0" rank="0" text="" dxfId="1">
      <formula>-0.0001</formula>
    </cfRule>
  </conditionalFormatting>
  <conditionalFormatting sqref="E14">
    <cfRule type="cellIs" priority="30" operator="greaterThan" aboveAverage="0" equalAverage="0" bottom="0" percent="0" rank="0" text="" dxfId="0">
      <formula>0.0001</formula>
    </cfRule>
    <cfRule type="cellIs" priority="31" operator="lessThan" aboveAverage="0" equalAverage="0" bottom="0" percent="0" rank="0" text="" dxfId="1">
      <formula>-0.0001</formula>
    </cfRule>
  </conditionalFormatting>
  <conditionalFormatting sqref="G14">
    <cfRule type="cellIs" priority="32" operator="greaterThan" aboveAverage="0" equalAverage="0" bottom="0" percent="0" rank="0" text="" dxfId="0">
      <formula>0.0001</formula>
    </cfRule>
    <cfRule type="cellIs" priority="33" operator="lessThan" aboveAverage="0" equalAverage="0" bottom="0" percent="0" rank="0" text="" dxfId="1">
      <formula>-0.0001</formula>
    </cfRule>
  </conditionalFormatting>
  <conditionalFormatting sqref="E15">
    <cfRule type="cellIs" priority="34" operator="lessThan" aboveAverage="0" equalAverage="0" bottom="0" percent="0" rank="0" text="" dxfId="0">
      <formula>-0.0001</formula>
    </cfRule>
    <cfRule type="cellIs" priority="35" operator="greaterThan" aboveAverage="0" equalAverage="0" bottom="0" percent="0" rank="0" text="" dxfId="1">
      <formula>0.0001</formula>
    </cfRule>
  </conditionalFormatting>
  <conditionalFormatting sqref="G15">
    <cfRule type="cellIs" priority="36" operator="lessThan" aboveAverage="0" equalAverage="0" bottom="0" percent="0" rank="0" text="" dxfId="0">
      <formula>-0.0001</formula>
    </cfRule>
    <cfRule type="cellIs" priority="37" operator="greaterThan" aboveAverage="0" equalAverage="0" bottom="0" percent="0" rank="0" text="" dxfId="1">
      <formula>0.0001</formula>
    </cfRule>
  </conditionalFormatting>
  <conditionalFormatting sqref="E16">
    <cfRule type="cellIs" priority="38" operator="greaterThan" aboveAverage="0" equalAverage="0" bottom="0" percent="0" rank="0" text="" dxfId="0">
      <formula>0.0001</formula>
    </cfRule>
    <cfRule type="cellIs" priority="39" operator="lessThan" aboveAverage="0" equalAverage="0" bottom="0" percent="0" rank="0" text="" dxfId="1">
      <formula>-0.0001</formula>
    </cfRule>
  </conditionalFormatting>
  <conditionalFormatting sqref="G16">
    <cfRule type="cellIs" priority="40" operator="greaterThan" aboveAverage="0" equalAverage="0" bottom="0" percent="0" rank="0" text="" dxfId="0">
      <formula>0.0001</formula>
    </cfRule>
    <cfRule type="cellIs" priority="41" operator="lessThan" aboveAverage="0" equalAverage="0" bottom="0" percent="0" rank="0" text="" dxfId="1">
      <formula>-0.0001</formula>
    </cfRule>
  </conditionalFormatting>
  <conditionalFormatting sqref="E17">
    <cfRule type="cellIs" priority="42" operator="greaterThan" aboveAverage="0" equalAverage="0" bottom="0" percent="0" rank="0" text="" dxfId="0">
      <formula>0.0001</formula>
    </cfRule>
    <cfRule type="cellIs" priority="43" operator="lessThan" aboveAverage="0" equalAverage="0" bottom="0" percent="0" rank="0" text="" dxfId="1">
      <formula>-0.0001</formula>
    </cfRule>
  </conditionalFormatting>
  <conditionalFormatting sqref="G17">
    <cfRule type="cellIs" priority="44" operator="greaterThan" aboveAverage="0" equalAverage="0" bottom="0" percent="0" rank="0" text="" dxfId="0">
      <formula>0.0001</formula>
    </cfRule>
    <cfRule type="cellIs" priority="45" operator="lessThan" aboveAverage="0" equalAverage="0" bottom="0" percent="0" rank="0" text="" dxfId="1">
      <formula>-0.0001</formula>
    </cfRule>
  </conditionalFormatting>
  <dataValidations count="1">
    <dataValidation allowBlank="false" errorStyle="stop" operator="between" showDropDown="false" showErrorMessage="false" showInputMessage="false" sqref="C4" type="list">
      <formula1>'Monthly Trend'!$A$2:$A$19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.8"/>
    <col collapsed="false" customWidth="true" hidden="false" outlineLevel="0" max="3" min="3" style="0" width="10.4"/>
    <col collapsed="false" customWidth="true" hidden="false" outlineLevel="0" max="4" min="4" style="0" width="12.8"/>
    <col collapsed="false" customWidth="true" hidden="false" outlineLevel="0" max="5" min="5" style="0" width="15.2"/>
    <col collapsed="false" customWidth="true" hidden="false" outlineLevel="0" max="6" min="6" style="0" width="10"/>
    <col collapsed="false" customWidth="true" hidden="false" outlineLevel="0" max="7" min="7" style="0" width="16.8"/>
    <col collapsed="false" customWidth="true" hidden="false" outlineLevel="0" max="8" min="8" style="0" width="14.4"/>
    <col collapsed="false" customWidth="true" hidden="false" outlineLevel="0" max="10" min="9" style="0" width="12"/>
    <col collapsed="false" customWidth="true" hidden="false" outlineLevel="0" max="11" min="11" style="0" width="10.4"/>
    <col collapsed="false" customWidth="true" hidden="false" outlineLevel="0" max="12" min="12" style="0" width="24.8"/>
    <col collapsed="false" customWidth="true" hidden="false" outlineLevel="0" max="13" min="13" style="0" width="13.6"/>
    <col collapsed="false" customWidth="true" hidden="false" outlineLevel="0" max="15" min="14" style="0" width="19.2"/>
    <col collapsed="false" customWidth="true" hidden="false" outlineLevel="0" max="16" min="16" style="0" width="14.4"/>
  </cols>
  <sheetData>
    <row r="1" customFormat="false" ht="31.5" hidden="false" customHeight="true" outlineLevel="0" collapsed="false">
      <c r="A1" s="15" t="s">
        <v>22</v>
      </c>
      <c r="B1" s="15" t="s">
        <v>12</v>
      </c>
      <c r="C1" s="15" t="s">
        <v>13</v>
      </c>
      <c r="D1" s="15" t="s">
        <v>14</v>
      </c>
      <c r="E1" s="15" t="s">
        <v>10</v>
      </c>
      <c r="F1" s="15" t="s">
        <v>23</v>
      </c>
      <c r="G1" s="15" t="s">
        <v>24</v>
      </c>
      <c r="H1" s="15" t="s">
        <v>16</v>
      </c>
      <c r="I1" s="15" t="s">
        <v>15</v>
      </c>
      <c r="J1" s="15" t="s">
        <v>11</v>
      </c>
      <c r="K1" s="15" t="s">
        <v>25</v>
      </c>
      <c r="L1" s="15" t="s">
        <v>17</v>
      </c>
      <c r="M1" s="15" t="s">
        <v>18</v>
      </c>
      <c r="N1" s="15" t="s">
        <v>26</v>
      </c>
      <c r="O1" s="15" t="s">
        <v>19</v>
      </c>
      <c r="P1" s="15" t="s">
        <v>20</v>
      </c>
    </row>
    <row r="2" customFormat="false" ht="15" hidden="false" customHeight="false" outlineLevel="0" collapsed="false">
      <c r="A2" s="16" t="s">
        <v>27</v>
      </c>
      <c r="B2" s="17" t="n">
        <v>508</v>
      </c>
      <c r="C2" s="17" t="n">
        <v>38</v>
      </c>
      <c r="D2" s="17" t="n">
        <v>17</v>
      </c>
      <c r="E2" s="18" t="n">
        <v>18916163</v>
      </c>
      <c r="F2" s="19"/>
      <c r="G2" s="17" t="n">
        <v>296478</v>
      </c>
      <c r="H2" s="20" t="n">
        <v>63.8</v>
      </c>
      <c r="I2" s="21" t="n">
        <v>96.23</v>
      </c>
      <c r="J2" s="18" t="n">
        <v>103103</v>
      </c>
      <c r="K2" s="19"/>
      <c r="L2" s="20" t="n">
        <v>202.96</v>
      </c>
      <c r="M2" s="22" t="n">
        <v>0.089</v>
      </c>
      <c r="N2" s="17" t="n">
        <v>54</v>
      </c>
      <c r="O2" s="19" t="n">
        <v>94.4</v>
      </c>
      <c r="P2" s="23" t="n">
        <v>4.57</v>
      </c>
    </row>
    <row r="3" customFormat="false" ht="15" hidden="false" customHeight="false" outlineLevel="0" collapsed="false">
      <c r="A3" s="24" t="s">
        <v>28</v>
      </c>
      <c r="B3" s="9" t="n">
        <v>500</v>
      </c>
      <c r="C3" s="9" t="n">
        <v>9</v>
      </c>
      <c r="D3" s="9" t="n">
        <v>9</v>
      </c>
      <c r="E3" s="7" t="n">
        <v>19573985</v>
      </c>
      <c r="F3" s="13" t="n">
        <v>3.5</v>
      </c>
      <c r="G3" s="9" t="n">
        <v>302418</v>
      </c>
      <c r="H3" s="11" t="n">
        <v>64.72</v>
      </c>
      <c r="I3" s="10" t="n">
        <v>96.23</v>
      </c>
      <c r="J3" s="7" t="n">
        <v>104622</v>
      </c>
      <c r="K3" s="13" t="n">
        <v>1.5</v>
      </c>
      <c r="L3" s="11" t="n">
        <v>209.24</v>
      </c>
      <c r="M3" s="12" t="n">
        <v>0.102</v>
      </c>
      <c r="N3" s="9" t="n">
        <v>65</v>
      </c>
      <c r="O3" s="13" t="n">
        <v>87.7</v>
      </c>
      <c r="P3" s="14" t="n">
        <v>4.08</v>
      </c>
    </row>
    <row r="4" customFormat="false" ht="15" hidden="false" customHeight="false" outlineLevel="0" collapsed="false">
      <c r="A4" s="16" t="s">
        <v>29</v>
      </c>
      <c r="B4" s="17" t="n">
        <v>501</v>
      </c>
      <c r="C4" s="17" t="n">
        <v>11</v>
      </c>
      <c r="D4" s="17" t="n">
        <v>10</v>
      </c>
      <c r="E4" s="18" t="n">
        <v>22304344</v>
      </c>
      <c r="F4" s="19" t="n">
        <v>13.9</v>
      </c>
      <c r="G4" s="17" t="n">
        <v>347451</v>
      </c>
      <c r="H4" s="20" t="n">
        <v>64.19</v>
      </c>
      <c r="I4" s="21" t="n">
        <v>96.21</v>
      </c>
      <c r="J4" s="18" t="n">
        <v>117063</v>
      </c>
      <c r="K4" s="19" t="n">
        <v>11.9</v>
      </c>
      <c r="L4" s="20" t="n">
        <v>233.66</v>
      </c>
      <c r="M4" s="22" t="n">
        <v>0.092</v>
      </c>
      <c r="N4" s="17" t="n">
        <v>78</v>
      </c>
      <c r="O4" s="19" t="n">
        <v>89.7</v>
      </c>
      <c r="P4" s="23" t="n">
        <v>4.21</v>
      </c>
    </row>
    <row r="5" customFormat="false" ht="15" hidden="false" customHeight="false" outlineLevel="0" collapsed="false">
      <c r="A5" s="24" t="s">
        <v>30</v>
      </c>
      <c r="B5" s="9" t="n">
        <v>508</v>
      </c>
      <c r="C5" s="9" t="n">
        <v>16</v>
      </c>
      <c r="D5" s="9" t="n">
        <v>15</v>
      </c>
      <c r="E5" s="7" t="n">
        <v>23220358</v>
      </c>
      <c r="F5" s="13" t="n">
        <v>4.1</v>
      </c>
      <c r="G5" s="9" t="n">
        <v>363220</v>
      </c>
      <c r="H5" s="11" t="n">
        <v>63.93</v>
      </c>
      <c r="I5" s="10" t="n">
        <v>96.25</v>
      </c>
      <c r="J5" s="7" t="n">
        <v>123252</v>
      </c>
      <c r="K5" s="13" t="n">
        <v>5.3</v>
      </c>
      <c r="L5" s="11" t="n">
        <v>242.62</v>
      </c>
      <c r="M5" s="12" t="n">
        <v>0.087</v>
      </c>
      <c r="N5" s="9" t="n">
        <v>51</v>
      </c>
      <c r="O5" s="13" t="n">
        <v>88.2</v>
      </c>
      <c r="P5" s="14" t="n">
        <v>4.2</v>
      </c>
    </row>
    <row r="6" customFormat="false" ht="15" hidden="false" customHeight="false" outlineLevel="0" collapsed="false">
      <c r="A6" s="16" t="s">
        <v>31</v>
      </c>
      <c r="B6" s="17" t="n">
        <v>526</v>
      </c>
      <c r="C6" s="17" t="n">
        <v>34</v>
      </c>
      <c r="D6" s="17" t="n">
        <v>11</v>
      </c>
      <c r="E6" s="18" t="n">
        <v>23967911</v>
      </c>
      <c r="F6" s="19" t="n">
        <v>3.2</v>
      </c>
      <c r="G6" s="17" t="n">
        <v>368197</v>
      </c>
      <c r="H6" s="20" t="n">
        <v>65.1</v>
      </c>
      <c r="I6" s="21" t="n">
        <v>96.2</v>
      </c>
      <c r="J6" s="18" t="n">
        <v>125249</v>
      </c>
      <c r="K6" s="19" t="n">
        <v>1.6</v>
      </c>
      <c r="L6" s="20" t="n">
        <v>238.12</v>
      </c>
      <c r="M6" s="22" t="n">
        <v>0.088</v>
      </c>
      <c r="N6" s="17" t="n">
        <v>61</v>
      </c>
      <c r="O6" s="19" t="n">
        <v>90.2</v>
      </c>
      <c r="P6" s="23" t="n">
        <v>4.15</v>
      </c>
    </row>
    <row r="7" customFormat="false" ht="15" hidden="false" customHeight="false" outlineLevel="0" collapsed="false">
      <c r="A7" s="24" t="s">
        <v>32</v>
      </c>
      <c r="B7" s="9" t="n">
        <v>558</v>
      </c>
      <c r="C7" s="9" t="n">
        <v>43</v>
      </c>
      <c r="D7" s="9" t="n">
        <v>10</v>
      </c>
      <c r="E7" s="7" t="n">
        <v>25282129</v>
      </c>
      <c r="F7" s="13" t="n">
        <v>5.5</v>
      </c>
      <c r="G7" s="9" t="n">
        <v>384656</v>
      </c>
      <c r="H7" s="11" t="n">
        <v>65.73</v>
      </c>
      <c r="I7" s="10" t="n">
        <v>96.23</v>
      </c>
      <c r="J7" s="7" t="n">
        <v>131106</v>
      </c>
      <c r="K7" s="13" t="n">
        <v>4.7</v>
      </c>
      <c r="L7" s="11" t="n">
        <v>234.96</v>
      </c>
      <c r="M7" s="12" t="n">
        <v>0.091</v>
      </c>
      <c r="N7" s="9" t="n">
        <v>50</v>
      </c>
      <c r="O7" s="13" t="n">
        <v>88</v>
      </c>
      <c r="P7" s="14" t="n">
        <v>4</v>
      </c>
    </row>
    <row r="8" customFormat="false" ht="15" hidden="false" customHeight="false" outlineLevel="0" collapsed="false">
      <c r="A8" s="16" t="s">
        <v>33</v>
      </c>
      <c r="B8" s="17" t="n">
        <v>582</v>
      </c>
      <c r="C8" s="17" t="n">
        <v>33</v>
      </c>
      <c r="D8" s="17" t="n">
        <v>7</v>
      </c>
      <c r="E8" s="18" t="n">
        <v>27605430</v>
      </c>
      <c r="F8" s="19" t="n">
        <v>9.2</v>
      </c>
      <c r="G8" s="17" t="n">
        <v>412124</v>
      </c>
      <c r="H8" s="20" t="n">
        <v>66.98</v>
      </c>
      <c r="I8" s="21" t="n">
        <v>96.24</v>
      </c>
      <c r="J8" s="18" t="n">
        <v>142706</v>
      </c>
      <c r="K8" s="19" t="n">
        <v>8.8</v>
      </c>
      <c r="L8" s="20" t="n">
        <v>245.2</v>
      </c>
      <c r="M8" s="22" t="n">
        <v>0.105</v>
      </c>
      <c r="N8" s="17" t="n">
        <v>57</v>
      </c>
      <c r="O8" s="19" t="n">
        <v>89.5</v>
      </c>
      <c r="P8" s="23" t="n">
        <v>4.29</v>
      </c>
    </row>
    <row r="9" customFormat="false" ht="15" hidden="false" customHeight="false" outlineLevel="0" collapsed="false">
      <c r="A9" s="24" t="s">
        <v>34</v>
      </c>
      <c r="B9" s="9" t="n">
        <v>625</v>
      </c>
      <c r="C9" s="9" t="n">
        <v>50</v>
      </c>
      <c r="D9" s="9" t="n">
        <v>18</v>
      </c>
      <c r="E9" s="7" t="n">
        <v>29113080</v>
      </c>
      <c r="F9" s="13" t="n">
        <v>5.5</v>
      </c>
      <c r="G9" s="9" t="n">
        <v>429898</v>
      </c>
      <c r="H9" s="11" t="n">
        <v>67.72</v>
      </c>
      <c r="I9" s="10" t="n">
        <v>96.21</v>
      </c>
      <c r="J9" s="7" t="n">
        <v>150848</v>
      </c>
      <c r="K9" s="13" t="n">
        <v>5.7</v>
      </c>
      <c r="L9" s="11" t="n">
        <v>241.36</v>
      </c>
      <c r="M9" s="12" t="n">
        <v>0.088</v>
      </c>
      <c r="N9" s="9" t="n">
        <v>78</v>
      </c>
      <c r="O9" s="13" t="n">
        <v>94.9</v>
      </c>
      <c r="P9" s="14" t="n">
        <v>4.1</v>
      </c>
    </row>
    <row r="10" customFormat="false" ht="15" hidden="false" customHeight="false" outlineLevel="0" collapsed="false">
      <c r="A10" s="16" t="s">
        <v>35</v>
      </c>
      <c r="B10" s="17" t="n">
        <v>656</v>
      </c>
      <c r="C10" s="17" t="n">
        <v>51</v>
      </c>
      <c r="D10" s="17" t="n">
        <v>16</v>
      </c>
      <c r="E10" s="18" t="n">
        <v>28096323</v>
      </c>
      <c r="F10" s="19" t="n">
        <v>-3.5</v>
      </c>
      <c r="G10" s="17" t="n">
        <v>427022</v>
      </c>
      <c r="H10" s="20" t="n">
        <v>65.8</v>
      </c>
      <c r="I10" s="21" t="n">
        <v>96.24</v>
      </c>
      <c r="J10" s="18" t="n">
        <v>146130</v>
      </c>
      <c r="K10" s="19" t="n">
        <v>-3.1</v>
      </c>
      <c r="L10" s="20" t="n">
        <v>222.76</v>
      </c>
      <c r="M10" s="22" t="n">
        <v>0.085</v>
      </c>
      <c r="N10" s="17" t="n">
        <v>105</v>
      </c>
      <c r="O10" s="19" t="n">
        <v>90.5</v>
      </c>
      <c r="P10" s="23" t="n">
        <v>4.24</v>
      </c>
    </row>
    <row r="11" customFormat="false" ht="15" hidden="false" customHeight="false" outlineLevel="0" collapsed="false">
      <c r="A11" s="24" t="s">
        <v>36</v>
      </c>
      <c r="B11" s="9" t="n">
        <v>708</v>
      </c>
      <c r="C11" s="9" t="n">
        <v>68</v>
      </c>
      <c r="D11" s="9" t="n">
        <v>11</v>
      </c>
      <c r="E11" s="7" t="n">
        <v>30614513</v>
      </c>
      <c r="F11" s="13" t="n">
        <v>9</v>
      </c>
      <c r="G11" s="9" t="n">
        <v>466062</v>
      </c>
      <c r="H11" s="11" t="n">
        <v>65.69</v>
      </c>
      <c r="I11" s="10" t="n">
        <v>96.14</v>
      </c>
      <c r="J11" s="7" t="n">
        <v>159775</v>
      </c>
      <c r="K11" s="13" t="n">
        <v>9.3</v>
      </c>
      <c r="L11" s="11" t="n">
        <v>225.67</v>
      </c>
      <c r="M11" s="12" t="n">
        <v>0.099</v>
      </c>
      <c r="N11" s="9" t="n">
        <v>101</v>
      </c>
      <c r="O11" s="13" t="n">
        <v>89.1</v>
      </c>
      <c r="P11" s="14" t="n">
        <v>4.2</v>
      </c>
    </row>
    <row r="12" customFormat="false" ht="15" hidden="false" customHeight="false" outlineLevel="0" collapsed="false">
      <c r="A12" s="16" t="s">
        <v>37</v>
      </c>
      <c r="B12" s="17" t="n">
        <v>764</v>
      </c>
      <c r="C12" s="17" t="n">
        <v>68</v>
      </c>
      <c r="D12" s="17" t="n">
        <v>12</v>
      </c>
      <c r="E12" s="18" t="n">
        <v>35914998</v>
      </c>
      <c r="F12" s="19" t="n">
        <v>17.3</v>
      </c>
      <c r="G12" s="17" t="n">
        <v>545744</v>
      </c>
      <c r="H12" s="20" t="n">
        <v>65.81</v>
      </c>
      <c r="I12" s="21" t="n">
        <v>96.15</v>
      </c>
      <c r="J12" s="18" t="n">
        <v>187398</v>
      </c>
      <c r="K12" s="19" t="n">
        <v>17.3</v>
      </c>
      <c r="L12" s="20" t="n">
        <v>245.29</v>
      </c>
      <c r="M12" s="22" t="n">
        <v>0.097</v>
      </c>
      <c r="N12" s="17" t="n">
        <v>78</v>
      </c>
      <c r="O12" s="19" t="n">
        <v>92.3</v>
      </c>
      <c r="P12" s="23" t="n">
        <v>4.32</v>
      </c>
    </row>
    <row r="13" customFormat="false" ht="15" hidden="false" customHeight="false" outlineLevel="0" collapsed="false">
      <c r="A13" s="24" t="s">
        <v>38</v>
      </c>
      <c r="B13" s="9" t="n">
        <v>833</v>
      </c>
      <c r="C13" s="9" t="n">
        <v>83</v>
      </c>
      <c r="D13" s="9" t="n">
        <v>21</v>
      </c>
      <c r="E13" s="7" t="n">
        <v>44642473</v>
      </c>
      <c r="F13" s="13" t="n">
        <v>24.3</v>
      </c>
      <c r="G13" s="9" t="n">
        <v>680658</v>
      </c>
      <c r="H13" s="11" t="n">
        <v>65.59</v>
      </c>
      <c r="I13" s="10" t="n">
        <v>96.16</v>
      </c>
      <c r="J13" s="7" t="n">
        <v>229841</v>
      </c>
      <c r="K13" s="13" t="n">
        <v>22.6</v>
      </c>
      <c r="L13" s="11" t="n">
        <v>275.92</v>
      </c>
      <c r="M13" s="12" t="n">
        <v>0.098</v>
      </c>
      <c r="N13" s="9" t="n">
        <v>99</v>
      </c>
      <c r="O13" s="13" t="n">
        <v>87.9</v>
      </c>
      <c r="P13" s="14" t="n">
        <v>4.08</v>
      </c>
    </row>
    <row r="14" customFormat="false" ht="15" hidden="false" customHeight="false" outlineLevel="0" collapsed="false">
      <c r="A14" s="16" t="s">
        <v>39</v>
      </c>
      <c r="B14" s="17" t="n">
        <v>885</v>
      </c>
      <c r="C14" s="17" t="n">
        <v>73</v>
      </c>
      <c r="D14" s="17" t="n">
        <v>17</v>
      </c>
      <c r="E14" s="18" t="n">
        <v>32372107</v>
      </c>
      <c r="F14" s="19" t="n">
        <v>-27.5</v>
      </c>
      <c r="G14" s="17" t="n">
        <v>496680</v>
      </c>
      <c r="H14" s="20" t="n">
        <v>65.18</v>
      </c>
      <c r="I14" s="21" t="n">
        <v>96.09</v>
      </c>
      <c r="J14" s="18" t="n">
        <v>171953</v>
      </c>
      <c r="K14" s="19" t="n">
        <v>-25.2</v>
      </c>
      <c r="L14" s="20" t="n">
        <v>194.3</v>
      </c>
      <c r="M14" s="22" t="n">
        <v>0.102</v>
      </c>
      <c r="N14" s="17" t="n">
        <v>120</v>
      </c>
      <c r="O14" s="19" t="n">
        <v>88.3</v>
      </c>
      <c r="P14" s="23" t="n">
        <v>4.25</v>
      </c>
    </row>
    <row r="15" customFormat="false" ht="15" hidden="false" customHeight="false" outlineLevel="0" collapsed="false">
      <c r="A15" s="24" t="s">
        <v>40</v>
      </c>
      <c r="B15" s="9" t="n">
        <v>935</v>
      </c>
      <c r="C15" s="9" t="n">
        <v>69</v>
      </c>
      <c r="D15" s="9" t="n">
        <v>14</v>
      </c>
      <c r="E15" s="7" t="n">
        <v>36287252</v>
      </c>
      <c r="F15" s="13" t="n">
        <v>12.1</v>
      </c>
      <c r="G15" s="9" t="n">
        <v>564011</v>
      </c>
      <c r="H15" s="11" t="n">
        <v>64.34</v>
      </c>
      <c r="I15" s="10" t="n">
        <v>96.11</v>
      </c>
      <c r="J15" s="7" t="n">
        <v>193016</v>
      </c>
      <c r="K15" s="13" t="n">
        <v>12.2</v>
      </c>
      <c r="L15" s="11" t="n">
        <v>206.43</v>
      </c>
      <c r="M15" s="12" t="n">
        <v>0.098</v>
      </c>
      <c r="N15" s="9" t="n">
        <v>130</v>
      </c>
      <c r="O15" s="13" t="n">
        <v>94.6</v>
      </c>
      <c r="P15" s="14" t="n">
        <v>4.08</v>
      </c>
    </row>
    <row r="16" customFormat="false" ht="15" hidden="false" customHeight="false" outlineLevel="0" collapsed="false">
      <c r="A16" s="16" t="s">
        <v>41</v>
      </c>
      <c r="B16" s="17" t="n">
        <v>1021</v>
      </c>
      <c r="C16" s="17" t="n">
        <v>97</v>
      </c>
      <c r="D16" s="17" t="n">
        <v>28</v>
      </c>
      <c r="E16" s="18" t="n">
        <v>43183014</v>
      </c>
      <c r="F16" s="19" t="n">
        <v>19</v>
      </c>
      <c r="G16" s="17" t="n">
        <v>667943</v>
      </c>
      <c r="H16" s="20" t="n">
        <v>64.65</v>
      </c>
      <c r="I16" s="21" t="n">
        <v>96.11</v>
      </c>
      <c r="J16" s="18" t="n">
        <v>225728</v>
      </c>
      <c r="K16" s="19" t="n">
        <v>16.9</v>
      </c>
      <c r="L16" s="20" t="n">
        <v>221.09</v>
      </c>
      <c r="M16" s="22" t="n">
        <v>0.109</v>
      </c>
      <c r="N16" s="17" t="n">
        <v>381</v>
      </c>
      <c r="O16" s="19" t="n">
        <v>47</v>
      </c>
      <c r="P16" s="23" t="n">
        <v>3.42</v>
      </c>
    </row>
    <row r="17" customFormat="false" ht="15" hidden="false" customHeight="false" outlineLevel="0" collapsed="false">
      <c r="A17" s="24" t="s">
        <v>42</v>
      </c>
      <c r="B17" s="9" t="n">
        <v>1100</v>
      </c>
      <c r="C17" s="9" t="n">
        <v>107</v>
      </c>
      <c r="D17" s="9" t="n">
        <v>26</v>
      </c>
      <c r="E17" s="7" t="n">
        <v>47210524</v>
      </c>
      <c r="F17" s="13" t="n">
        <v>9.3</v>
      </c>
      <c r="G17" s="9" t="n">
        <v>741772</v>
      </c>
      <c r="H17" s="11" t="n">
        <v>63.65</v>
      </c>
      <c r="I17" s="10" t="n">
        <v>96.11</v>
      </c>
      <c r="J17" s="7" t="n">
        <v>244145</v>
      </c>
      <c r="K17" s="13" t="n">
        <v>8.2</v>
      </c>
      <c r="L17" s="11" t="n">
        <v>221.95</v>
      </c>
      <c r="M17" s="12" t="n">
        <v>0.102</v>
      </c>
      <c r="N17" s="9" t="n">
        <v>427</v>
      </c>
      <c r="O17" s="13" t="n">
        <v>50.1</v>
      </c>
      <c r="P17" s="14" t="n">
        <v>3.39</v>
      </c>
    </row>
    <row r="18" customFormat="false" ht="15" hidden="false" customHeight="false" outlineLevel="0" collapsed="false">
      <c r="A18" s="16" t="s">
        <v>43</v>
      </c>
      <c r="B18" s="17" t="n">
        <v>1198</v>
      </c>
      <c r="C18" s="17" t="n">
        <v>122</v>
      </c>
      <c r="D18" s="17" t="n">
        <v>22</v>
      </c>
      <c r="E18" s="18" t="n">
        <v>53377032</v>
      </c>
      <c r="F18" s="19" t="n">
        <v>13.1</v>
      </c>
      <c r="G18" s="17" t="n">
        <v>826578</v>
      </c>
      <c r="H18" s="20" t="n">
        <v>64.58</v>
      </c>
      <c r="I18" s="21" t="n">
        <v>96.14</v>
      </c>
      <c r="J18" s="18" t="n">
        <v>272040</v>
      </c>
      <c r="K18" s="19" t="n">
        <v>11.4</v>
      </c>
      <c r="L18" s="20" t="n">
        <v>227.08</v>
      </c>
      <c r="M18" s="22" t="n">
        <v>0.106</v>
      </c>
      <c r="N18" s="17" t="n">
        <v>162</v>
      </c>
      <c r="O18" s="19" t="n">
        <v>86.4</v>
      </c>
      <c r="P18" s="23" t="n">
        <v>4</v>
      </c>
    </row>
    <row r="19" customFormat="false" ht="15" hidden="false" customHeight="false" outlineLevel="0" collapsed="false">
      <c r="A19" s="24" t="s">
        <v>3</v>
      </c>
      <c r="B19" s="9" t="n">
        <v>1311</v>
      </c>
      <c r="C19" s="9" t="n">
        <v>134</v>
      </c>
      <c r="D19" s="9" t="n">
        <v>27</v>
      </c>
      <c r="E19" s="7" t="n">
        <v>59231664</v>
      </c>
      <c r="F19" s="13" t="n">
        <v>11</v>
      </c>
      <c r="G19" s="9" t="n">
        <v>921163</v>
      </c>
      <c r="H19" s="11" t="n">
        <v>64.3</v>
      </c>
      <c r="I19" s="10" t="n">
        <v>96.12</v>
      </c>
      <c r="J19" s="7" t="n">
        <v>300164</v>
      </c>
      <c r="K19" s="13" t="n">
        <v>10.3</v>
      </c>
      <c r="L19" s="11" t="n">
        <v>228.96</v>
      </c>
      <c r="M19" s="12" t="n">
        <v>0.097</v>
      </c>
      <c r="N19" s="9" t="n">
        <v>149</v>
      </c>
      <c r="O19" s="13" t="n">
        <v>89.9</v>
      </c>
      <c r="P19" s="14" t="n">
        <v>4.32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0"/>
    <col collapsed="false" customWidth="true" hidden="false" outlineLevel="0" max="3" min="3" style="0" width="13.6"/>
    <col collapsed="false" customWidth="true" hidden="false" outlineLevel="0" max="4" min="4" style="0" width="16"/>
    <col collapsed="false" customWidth="true" hidden="false" outlineLevel="0" max="6" min="5" style="0" width="19.2"/>
    <col collapsed="false" customWidth="true" hidden="false" outlineLevel="0" max="7" min="7" style="0" width="12"/>
    <col collapsed="false" customWidth="true" hidden="false" outlineLevel="0" max="8" min="8" style="0" width="19.2"/>
  </cols>
  <sheetData>
    <row r="1" customFormat="false" ht="31.5" hidden="false" customHeight="true" outlineLevel="0" collapsed="false">
      <c r="A1" s="15" t="s">
        <v>44</v>
      </c>
      <c r="B1" s="15" t="s">
        <v>45</v>
      </c>
      <c r="C1" s="15" t="s">
        <v>46</v>
      </c>
      <c r="D1" s="15" t="s">
        <v>47</v>
      </c>
      <c r="E1" s="15" t="s">
        <v>48</v>
      </c>
      <c r="F1" s="15" t="s">
        <v>49</v>
      </c>
      <c r="G1" s="15" t="s">
        <v>50</v>
      </c>
      <c r="H1" s="15" t="s">
        <v>51</v>
      </c>
    </row>
    <row r="2" customFormat="false" ht="15" hidden="false" customHeight="false" outlineLevel="0" collapsed="false">
      <c r="A2" s="25" t="s">
        <v>52</v>
      </c>
      <c r="B2" s="25" t="n">
        <v>546</v>
      </c>
      <c r="C2" s="19" t="n">
        <v>94.5</v>
      </c>
      <c r="D2" s="25" t="n">
        <v>5.5</v>
      </c>
      <c r="E2" s="19" t="n">
        <v>91.5</v>
      </c>
      <c r="F2" s="25" t="n">
        <v>5</v>
      </c>
      <c r="G2" s="19" t="n">
        <v>93.8</v>
      </c>
      <c r="H2" s="20" t="n">
        <v>202.65</v>
      </c>
    </row>
    <row r="3" customFormat="false" ht="15" hidden="false" customHeight="false" outlineLevel="0" collapsed="false">
      <c r="A3" s="6" t="s">
        <v>53</v>
      </c>
      <c r="B3" s="6" t="n">
        <v>516</v>
      </c>
      <c r="C3" s="13" t="n">
        <v>95</v>
      </c>
      <c r="D3" s="6" t="n">
        <v>7</v>
      </c>
      <c r="E3" s="13" t="n">
        <v>92.7</v>
      </c>
      <c r="F3" s="6" t="n">
        <v>6</v>
      </c>
      <c r="G3" s="13" t="n">
        <v>93.4</v>
      </c>
      <c r="H3" s="11" t="n">
        <v>206.85</v>
      </c>
    </row>
    <row r="4" customFormat="false" ht="15" hidden="false" customHeight="false" outlineLevel="0" collapsed="false">
      <c r="A4" s="25" t="s">
        <v>54</v>
      </c>
      <c r="B4" s="25" t="n">
        <v>298</v>
      </c>
      <c r="C4" s="19" t="n">
        <v>91.9</v>
      </c>
      <c r="D4" s="25" t="n">
        <v>8.5</v>
      </c>
      <c r="E4" s="19" t="n">
        <v>85.4</v>
      </c>
      <c r="F4" s="25" t="n">
        <v>7</v>
      </c>
      <c r="G4" s="19" t="n">
        <v>90.7</v>
      </c>
      <c r="H4" s="20" t="n">
        <v>204.23</v>
      </c>
    </row>
    <row r="5" customFormat="false" ht="15" hidden="false" customHeight="false" outlineLevel="0" collapsed="false">
      <c r="A5" s="6" t="s">
        <v>55</v>
      </c>
      <c r="B5" s="6" t="n">
        <v>740</v>
      </c>
      <c r="C5" s="13" t="n">
        <v>84.3</v>
      </c>
      <c r="D5" s="6" t="n">
        <v>2</v>
      </c>
      <c r="E5" s="13" t="n">
        <v>68.8</v>
      </c>
      <c r="F5" s="6" t="n">
        <v>9</v>
      </c>
      <c r="G5" s="13" t="n">
        <v>83.4</v>
      </c>
      <c r="H5" s="11" t="n">
        <v>295.18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2"/>
  </cols>
  <sheetData>
    <row r="1" customFormat="false" ht="31.5" hidden="false" customHeight="true" outlineLevel="0" collapsed="false">
      <c r="A1" s="15" t="s">
        <v>56</v>
      </c>
      <c r="B1" s="15" t="s">
        <v>57</v>
      </c>
      <c r="C1" s="15" t="s">
        <v>50</v>
      </c>
    </row>
    <row r="2" customFormat="false" ht="15" hidden="false" customHeight="false" outlineLevel="0" collapsed="false">
      <c r="A2" s="25" t="s">
        <v>58</v>
      </c>
      <c r="B2" s="25" t="n">
        <v>536</v>
      </c>
      <c r="C2" s="19" t="n">
        <v>92.7</v>
      </c>
    </row>
    <row r="3" customFormat="false" ht="15" hidden="false" customHeight="false" outlineLevel="0" collapsed="false">
      <c r="A3" s="6" t="s">
        <v>59</v>
      </c>
      <c r="B3" s="6" t="n">
        <v>297</v>
      </c>
      <c r="C3" s="13" t="n">
        <v>91.9</v>
      </c>
    </row>
    <row r="4" customFormat="false" ht="15" hidden="false" customHeight="false" outlineLevel="0" collapsed="false">
      <c r="A4" s="25" t="s">
        <v>60</v>
      </c>
      <c r="B4" s="25" t="n">
        <v>141</v>
      </c>
      <c r="C4" s="19" t="n">
        <v>76.6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2.8"/>
    <col collapsed="false" customWidth="true" hidden="false" outlineLevel="0" max="3" min="3" style="0" width="12"/>
    <col collapsed="false" customWidth="true" hidden="false" outlineLevel="0" max="4" min="4" style="0" width="12.8"/>
    <col collapsed="false" customWidth="true" hidden="false" outlineLevel="0" max="5" min="5" style="0" width="10"/>
    <col collapsed="false" customWidth="true" hidden="false" outlineLevel="0" max="6" min="6" style="0" width="13.6"/>
    <col collapsed="false" customWidth="true" hidden="false" outlineLevel="0" max="7" min="7" style="0" width="10"/>
    <col collapsed="false" customWidth="true" hidden="false" outlineLevel="0" max="8" min="8" style="0" width="13.6"/>
    <col collapsed="false" customWidth="true" hidden="false" outlineLevel="0" max="9" min="9" style="0" width="15.2"/>
    <col collapsed="false" customWidth="true" hidden="false" outlineLevel="0" max="10" min="10" style="0" width="20.8"/>
  </cols>
  <sheetData>
    <row r="1" customFormat="false" ht="31.5" hidden="false" customHeight="true" outlineLevel="0" collapsed="false">
      <c r="A1" s="15" t="s">
        <v>61</v>
      </c>
      <c r="B1" s="15" t="s">
        <v>12</v>
      </c>
      <c r="C1" s="15" t="s">
        <v>62</v>
      </c>
      <c r="D1" s="15" t="s">
        <v>63</v>
      </c>
      <c r="E1" s="15" t="s">
        <v>64</v>
      </c>
      <c r="F1" s="15" t="s">
        <v>65</v>
      </c>
      <c r="G1" s="15" t="s">
        <v>66</v>
      </c>
      <c r="H1" s="15" t="s">
        <v>46</v>
      </c>
      <c r="I1" s="15" t="s">
        <v>67</v>
      </c>
      <c r="J1" s="15" t="s">
        <v>68</v>
      </c>
    </row>
    <row r="2" customFormat="false" ht="15" hidden="false" customHeight="false" outlineLevel="0" collapsed="false">
      <c r="A2" s="25" t="s">
        <v>69</v>
      </c>
      <c r="B2" s="25" t="n">
        <v>280</v>
      </c>
      <c r="C2" s="18" t="n">
        <v>54808712</v>
      </c>
      <c r="D2" s="19" t="n">
        <v>20.2</v>
      </c>
      <c r="E2" s="18" t="n">
        <v>265885</v>
      </c>
      <c r="F2" s="19" t="n">
        <v>18.9</v>
      </c>
      <c r="G2" s="20" t="n">
        <v>41.87</v>
      </c>
      <c r="H2" s="19" t="n">
        <v>96.57</v>
      </c>
      <c r="I2" s="22" t="n">
        <v>0.049</v>
      </c>
      <c r="J2" s="20" t="n">
        <v>216.52</v>
      </c>
    </row>
    <row r="3" customFormat="false" ht="15" hidden="false" customHeight="false" outlineLevel="0" collapsed="false">
      <c r="A3" s="6" t="s">
        <v>70</v>
      </c>
      <c r="B3" s="6" t="n">
        <v>264</v>
      </c>
      <c r="C3" s="7" t="n">
        <v>44176023</v>
      </c>
      <c r="D3" s="13" t="n">
        <v>16.3</v>
      </c>
      <c r="E3" s="7" t="n">
        <v>226514</v>
      </c>
      <c r="F3" s="13" t="n">
        <v>16.1</v>
      </c>
      <c r="G3" s="11" t="n">
        <v>54.89</v>
      </c>
      <c r="H3" s="13" t="n">
        <v>96.6</v>
      </c>
      <c r="I3" s="12" t="n">
        <v>0.046</v>
      </c>
      <c r="J3" s="11" t="n">
        <v>185.36</v>
      </c>
    </row>
    <row r="4" customFormat="false" ht="15" hidden="false" customHeight="false" outlineLevel="0" collapsed="false">
      <c r="A4" s="25" t="s">
        <v>71</v>
      </c>
      <c r="B4" s="25" t="n">
        <v>109</v>
      </c>
      <c r="C4" s="18" t="n">
        <v>43779360</v>
      </c>
      <c r="D4" s="19" t="n">
        <v>16.1</v>
      </c>
      <c r="E4" s="18" t="n">
        <v>216789</v>
      </c>
      <c r="F4" s="19" t="n">
        <v>15.4</v>
      </c>
      <c r="G4" s="20" t="n">
        <v>37.85</v>
      </c>
      <c r="H4" s="19" t="n">
        <v>96.58</v>
      </c>
      <c r="I4" s="22" t="n">
        <v>0.052</v>
      </c>
      <c r="J4" s="20" t="n">
        <v>430.14</v>
      </c>
    </row>
    <row r="5" customFormat="false" ht="15" hidden="false" customHeight="false" outlineLevel="0" collapsed="false">
      <c r="A5" s="6" t="s">
        <v>72</v>
      </c>
      <c r="B5" s="6" t="n">
        <v>214</v>
      </c>
      <c r="C5" s="7" t="n">
        <v>33313637</v>
      </c>
      <c r="D5" s="13" t="n">
        <v>12.3</v>
      </c>
      <c r="E5" s="7" t="n">
        <v>209409</v>
      </c>
      <c r="F5" s="13" t="n">
        <v>14.9</v>
      </c>
      <c r="G5" s="11" t="n">
        <v>84.64</v>
      </c>
      <c r="H5" s="13" t="n">
        <v>92.17</v>
      </c>
      <c r="I5" s="12" t="n">
        <v>0.393</v>
      </c>
      <c r="J5" s="11" t="n">
        <v>209.62</v>
      </c>
    </row>
    <row r="6" customFormat="false" ht="15" hidden="false" customHeight="false" outlineLevel="0" collapsed="false">
      <c r="A6" s="25" t="s">
        <v>73</v>
      </c>
      <c r="B6" s="25" t="n">
        <v>111</v>
      </c>
      <c r="C6" s="18" t="n">
        <v>35122298</v>
      </c>
      <c r="D6" s="19" t="n">
        <v>12.9</v>
      </c>
      <c r="E6" s="18" t="n">
        <v>160162</v>
      </c>
      <c r="F6" s="19" t="n">
        <v>11.4</v>
      </c>
      <c r="G6" s="20" t="n">
        <v>259.88</v>
      </c>
      <c r="H6" s="19" t="n">
        <v>96.62</v>
      </c>
      <c r="I6" s="22" t="n">
        <v>0.057</v>
      </c>
      <c r="J6" s="20" t="n">
        <v>324.87</v>
      </c>
    </row>
    <row r="7" customFormat="false" ht="15" hidden="false" customHeight="false" outlineLevel="0" collapsed="false">
      <c r="A7" s="6" t="s">
        <v>74</v>
      </c>
      <c r="B7" s="6" t="n">
        <v>77</v>
      </c>
      <c r="C7" s="7" t="n">
        <v>25452421</v>
      </c>
      <c r="D7" s="13" t="n">
        <v>9.4</v>
      </c>
      <c r="E7" s="7" t="n">
        <v>128538</v>
      </c>
      <c r="F7" s="13" t="n">
        <v>9.1</v>
      </c>
      <c r="G7" s="11" t="n">
        <v>209.15</v>
      </c>
      <c r="H7" s="13" t="n">
        <v>96.58</v>
      </c>
      <c r="I7" s="12" t="n">
        <v>0.048</v>
      </c>
      <c r="J7" s="11" t="n">
        <v>365.16</v>
      </c>
    </row>
    <row r="8" customFormat="false" ht="15" hidden="false" customHeight="false" outlineLevel="0" collapsed="false">
      <c r="A8" s="25" t="s">
        <v>75</v>
      </c>
      <c r="B8" s="25" t="n">
        <v>186</v>
      </c>
      <c r="C8" s="18" t="n">
        <v>21927159</v>
      </c>
      <c r="D8" s="19" t="n">
        <v>8.1</v>
      </c>
      <c r="E8" s="18" t="n">
        <v>125397</v>
      </c>
      <c r="F8" s="19" t="n">
        <v>8.9</v>
      </c>
      <c r="G8" s="20" t="n">
        <v>179.26</v>
      </c>
      <c r="H8" s="19" t="n">
        <v>95.25</v>
      </c>
      <c r="I8" s="22" t="n">
        <v>0.193</v>
      </c>
      <c r="J8" s="20" t="n">
        <v>146.83</v>
      </c>
    </row>
    <row r="9" customFormat="false" ht="15" hidden="false" customHeight="false" outlineLevel="0" collapsed="false">
      <c r="A9" s="6" t="s">
        <v>76</v>
      </c>
      <c r="B9" s="6" t="n">
        <v>176</v>
      </c>
      <c r="C9" s="7" t="n">
        <v>13081982</v>
      </c>
      <c r="D9" s="13" t="n">
        <v>4.8</v>
      </c>
      <c r="E9" s="7" t="n">
        <v>74354</v>
      </c>
      <c r="F9" s="13" t="n">
        <v>5.3</v>
      </c>
      <c r="G9" s="11" t="n">
        <v>74.75</v>
      </c>
      <c r="H9" s="13" t="n">
        <v>96.61</v>
      </c>
      <c r="I9" s="12" t="n">
        <v>0.059</v>
      </c>
      <c r="J9" s="11" t="n">
        <v>93.17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12.8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20.8"/>
    <col collapsed="false" customWidth="true" hidden="false" outlineLevel="0" max="6" min="6" style="0" width="13.6"/>
    <col collapsed="false" customWidth="true" hidden="false" outlineLevel="0" max="7" min="7" style="0" width="15.2"/>
    <col collapsed="false" customWidth="true" hidden="false" outlineLevel="0" max="8" min="8" style="0" width="24.8"/>
  </cols>
  <sheetData>
    <row r="1" customFormat="false" ht="31.5" hidden="false" customHeight="true" outlineLevel="0" collapsed="false">
      <c r="A1" s="15" t="s">
        <v>77</v>
      </c>
      <c r="B1" s="15" t="s">
        <v>12</v>
      </c>
      <c r="C1" s="15" t="s">
        <v>62</v>
      </c>
      <c r="D1" s="15" t="s">
        <v>64</v>
      </c>
      <c r="E1" s="15" t="s">
        <v>68</v>
      </c>
      <c r="F1" s="15" t="s">
        <v>46</v>
      </c>
      <c r="G1" s="15" t="s">
        <v>67</v>
      </c>
      <c r="H1" s="15" t="s">
        <v>78</v>
      </c>
    </row>
    <row r="2" customFormat="false" ht="15" hidden="false" customHeight="false" outlineLevel="0" collapsed="false">
      <c r="A2" s="25" t="s">
        <v>79</v>
      </c>
      <c r="B2" s="25" t="n">
        <v>743</v>
      </c>
      <c r="C2" s="18" t="n">
        <v>153376944</v>
      </c>
      <c r="D2" s="18" t="n">
        <v>772482</v>
      </c>
      <c r="E2" s="20" t="n">
        <v>229.36</v>
      </c>
      <c r="F2" s="19" t="n">
        <v>96.58</v>
      </c>
      <c r="G2" s="22" t="n">
        <v>0.05</v>
      </c>
      <c r="H2" s="25" t="n">
        <v>28.3</v>
      </c>
    </row>
    <row r="3" customFormat="false" ht="15" hidden="false" customHeight="false" outlineLevel="0" collapsed="false">
      <c r="A3" s="6" t="s">
        <v>80</v>
      </c>
      <c r="B3" s="6" t="n">
        <v>408</v>
      </c>
      <c r="C3" s="7" t="n">
        <v>78449386</v>
      </c>
      <c r="D3" s="7" t="n">
        <v>383028</v>
      </c>
      <c r="E3" s="11" t="n">
        <v>206.71</v>
      </c>
      <c r="F3" s="13" t="n">
        <v>96.59</v>
      </c>
      <c r="G3" s="12" t="n">
        <v>0.048</v>
      </c>
      <c r="H3" s="6" t="n">
        <v>13.2</v>
      </c>
    </row>
    <row r="4" customFormat="false" ht="15" hidden="false" customHeight="false" outlineLevel="0" collapsed="false">
      <c r="A4" s="25" t="s">
        <v>81</v>
      </c>
      <c r="B4" s="25" t="n">
        <v>266</v>
      </c>
      <c r="C4" s="18" t="n">
        <v>39835262</v>
      </c>
      <c r="D4" s="18" t="n">
        <v>251538</v>
      </c>
      <c r="E4" s="20" t="n">
        <v>204.67</v>
      </c>
      <c r="F4" s="19" t="n">
        <v>92.17</v>
      </c>
      <c r="G4" s="22" t="n">
        <v>0.395</v>
      </c>
      <c r="H4" s="25" t="n">
        <v>14.5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.8"/>
    <col collapsed="false" customWidth="true" hidden="false" outlineLevel="0" max="3" min="3" style="0" width="22.4"/>
    <col collapsed="false" customWidth="true" hidden="false" outlineLevel="0" max="4" min="4" style="0" width="13.6"/>
  </cols>
  <sheetData>
    <row r="1" customFormat="false" ht="31.5" hidden="false" customHeight="true" outlineLevel="0" collapsed="false">
      <c r="A1" s="15" t="s">
        <v>82</v>
      </c>
      <c r="B1" s="15" t="s">
        <v>63</v>
      </c>
      <c r="C1" s="15" t="s">
        <v>83</v>
      </c>
      <c r="D1" s="15" t="s">
        <v>46</v>
      </c>
    </row>
    <row r="2" customFormat="false" ht="15" hidden="false" customHeight="false" outlineLevel="0" collapsed="false">
      <c r="A2" s="25" t="s">
        <v>84</v>
      </c>
      <c r="B2" s="19" t="n">
        <v>35.2</v>
      </c>
      <c r="C2" s="19" t="n">
        <v>21.8</v>
      </c>
      <c r="D2" s="19" t="n">
        <v>97.46</v>
      </c>
    </row>
    <row r="3" customFormat="false" ht="15" hidden="false" customHeight="false" outlineLevel="0" collapsed="false">
      <c r="A3" s="6" t="s">
        <v>85</v>
      </c>
      <c r="B3" s="13" t="n">
        <v>32.8</v>
      </c>
      <c r="C3" s="13" t="n">
        <v>42.7</v>
      </c>
      <c r="D3" s="13" t="n">
        <v>95.39</v>
      </c>
    </row>
    <row r="4" customFormat="false" ht="15" hidden="false" customHeight="false" outlineLevel="0" collapsed="false">
      <c r="A4" s="25" t="s">
        <v>86</v>
      </c>
      <c r="B4" s="19" t="n">
        <v>23.8</v>
      </c>
      <c r="C4" s="19" t="n">
        <v>31</v>
      </c>
      <c r="D4" s="19" t="n">
        <v>95.43</v>
      </c>
    </row>
    <row r="5" customFormat="false" ht="15" hidden="false" customHeight="false" outlineLevel="0" collapsed="false">
      <c r="A5" s="6" t="s">
        <v>87</v>
      </c>
      <c r="B5" s="13" t="n">
        <v>8.3</v>
      </c>
      <c r="C5" s="13" t="n">
        <v>4.4</v>
      </c>
      <c r="D5" s="13" t="n">
        <v>95.56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4"/>
    <col collapsed="false" customWidth="true" hidden="false" outlineLevel="0" max="3" min="3" style="0" width="12.8"/>
    <col collapsed="false" customWidth="true" hidden="false" outlineLevel="0" max="4" min="4" style="0" width="16"/>
    <col collapsed="false" customWidth="true" hidden="false" outlineLevel="0" max="5" min="5" style="0" width="14.4"/>
    <col collapsed="false" customWidth="true" hidden="false" outlineLevel="0" max="6" min="6" style="0" width="10"/>
  </cols>
  <sheetData>
    <row r="1" customFormat="false" ht="31.5" hidden="false" customHeight="true" outlineLevel="0" collapsed="false">
      <c r="A1" s="15" t="s">
        <v>88</v>
      </c>
      <c r="B1" s="15" t="s">
        <v>89</v>
      </c>
      <c r="C1" s="15" t="s">
        <v>90</v>
      </c>
      <c r="D1" s="15" t="s">
        <v>91</v>
      </c>
      <c r="E1" s="15" t="s">
        <v>92</v>
      </c>
      <c r="F1" s="15" t="s">
        <v>93</v>
      </c>
    </row>
    <row r="2" customFormat="false" ht="15" hidden="false" customHeight="false" outlineLevel="0" collapsed="false">
      <c r="A2" s="25" t="s">
        <v>94</v>
      </c>
      <c r="B2" s="25" t="s">
        <v>95</v>
      </c>
      <c r="C2" s="25" t="n">
        <v>268</v>
      </c>
      <c r="D2" s="25" t="n">
        <v>14.1</v>
      </c>
      <c r="E2" s="25" t="n">
        <v>98.1</v>
      </c>
      <c r="F2" s="25" t="n">
        <v>4.35</v>
      </c>
    </row>
    <row r="3" customFormat="false" ht="15" hidden="false" customHeight="false" outlineLevel="0" collapsed="false">
      <c r="A3" s="6" t="s">
        <v>94</v>
      </c>
      <c r="B3" s="6" t="s">
        <v>96</v>
      </c>
      <c r="C3" s="6" t="n">
        <v>61</v>
      </c>
      <c r="D3" s="6" t="n">
        <v>33.2</v>
      </c>
      <c r="E3" s="6" t="n">
        <v>80.3</v>
      </c>
      <c r="F3" s="6" t="n">
        <v>3.88</v>
      </c>
    </row>
    <row r="4" customFormat="false" ht="15" hidden="false" customHeight="false" outlineLevel="0" collapsed="false">
      <c r="A4" s="25" t="s">
        <v>97</v>
      </c>
      <c r="B4" s="25" t="s">
        <v>95</v>
      </c>
      <c r="C4" s="25" t="n">
        <v>186</v>
      </c>
      <c r="D4" s="25" t="n">
        <v>41.3</v>
      </c>
      <c r="E4" s="25" t="n">
        <v>72.6</v>
      </c>
      <c r="F4" s="25" t="n">
        <v>3.8</v>
      </c>
    </row>
    <row r="5" customFormat="false" ht="15" hidden="false" customHeight="false" outlineLevel="0" collapsed="false">
      <c r="A5" s="6" t="s">
        <v>97</v>
      </c>
      <c r="B5" s="6" t="s">
        <v>96</v>
      </c>
      <c r="C5" s="6" t="n">
        <v>37</v>
      </c>
      <c r="D5" s="6" t="n">
        <v>94.6</v>
      </c>
      <c r="E5" s="6" t="n">
        <v>35.1</v>
      </c>
      <c r="F5" s="6" t="n">
        <v>3.21</v>
      </c>
    </row>
    <row r="6" customFormat="false" ht="15" hidden="false" customHeight="false" outlineLevel="0" collapsed="false">
      <c r="A6" s="25" t="s">
        <v>98</v>
      </c>
      <c r="B6" s="25" t="s">
        <v>95</v>
      </c>
      <c r="C6" s="25" t="n">
        <v>346</v>
      </c>
      <c r="D6" s="25" t="n">
        <v>21</v>
      </c>
      <c r="E6" s="25" t="n">
        <v>93.6</v>
      </c>
      <c r="F6" s="25" t="n">
        <v>4.22</v>
      </c>
    </row>
    <row r="7" customFormat="false" ht="15" hidden="false" customHeight="false" outlineLevel="0" collapsed="false">
      <c r="A7" s="6" t="s">
        <v>98</v>
      </c>
      <c r="B7" s="6" t="s">
        <v>96</v>
      </c>
      <c r="C7" s="6" t="n">
        <v>68</v>
      </c>
      <c r="D7" s="6" t="n">
        <v>52.8</v>
      </c>
      <c r="E7" s="6" t="n">
        <v>60.3</v>
      </c>
      <c r="F7" s="6" t="n">
        <v>3.29</v>
      </c>
    </row>
    <row r="8" customFormat="false" ht="15" hidden="false" customHeight="false" outlineLevel="0" collapsed="false">
      <c r="A8" s="25" t="s">
        <v>99</v>
      </c>
      <c r="B8" s="25" t="s">
        <v>95</v>
      </c>
      <c r="C8" s="25" t="n">
        <v>236</v>
      </c>
      <c r="D8" s="25" t="n">
        <v>16.8</v>
      </c>
      <c r="E8" s="25" t="n">
        <v>94.5</v>
      </c>
      <c r="F8" s="25" t="n">
        <v>4.37</v>
      </c>
    </row>
    <row r="9" customFormat="false" ht="15" hidden="false" customHeight="false" outlineLevel="0" collapsed="false">
      <c r="A9" s="6" t="s">
        <v>99</v>
      </c>
      <c r="B9" s="6" t="s">
        <v>96</v>
      </c>
      <c r="C9" s="6" t="n">
        <v>64</v>
      </c>
      <c r="D9" s="6" t="n">
        <v>50.9</v>
      </c>
      <c r="E9" s="6" t="n">
        <v>62.5</v>
      </c>
      <c r="F9" s="6" t="n">
        <v>3.44</v>
      </c>
    </row>
    <row r="10" customFormat="false" ht="15" hidden="false" customHeight="false" outlineLevel="0" collapsed="false">
      <c r="A10" s="25" t="s">
        <v>100</v>
      </c>
      <c r="B10" s="25" t="s">
        <v>95</v>
      </c>
      <c r="C10" s="25" t="n">
        <v>402</v>
      </c>
      <c r="D10" s="25" t="n">
        <v>26.5</v>
      </c>
      <c r="E10" s="25" t="n">
        <v>86.8</v>
      </c>
      <c r="F10" s="25" t="n">
        <v>4.09</v>
      </c>
    </row>
    <row r="11" customFormat="false" ht="15" hidden="false" customHeight="false" outlineLevel="0" collapsed="false">
      <c r="A11" s="6" t="s">
        <v>100</v>
      </c>
      <c r="B11" s="6" t="s">
        <v>96</v>
      </c>
      <c r="C11" s="6" t="n">
        <v>578</v>
      </c>
      <c r="D11" s="6" t="n">
        <v>69.7</v>
      </c>
      <c r="E11" s="6" t="n">
        <v>43.3</v>
      </c>
      <c r="F11" s="6" t="n">
        <v>3.38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2"/>
    <col collapsed="false" customWidth="true" hidden="false" outlineLevel="0" max="3" min="3" style="0" width="20.8"/>
  </cols>
  <sheetData>
    <row r="1" customFormat="false" ht="31.5" hidden="false" customHeight="true" outlineLevel="0" collapsed="false">
      <c r="A1" s="15" t="s">
        <v>101</v>
      </c>
      <c r="B1" s="15" t="s">
        <v>102</v>
      </c>
      <c r="C1" s="15" t="s">
        <v>103</v>
      </c>
    </row>
    <row r="2" customFormat="false" ht="15" hidden="false" customHeight="false" outlineLevel="0" collapsed="false">
      <c r="A2" s="25" t="s">
        <v>104</v>
      </c>
      <c r="B2" s="25" t="n">
        <v>280</v>
      </c>
      <c r="C2" s="19" t="n">
        <v>10.71</v>
      </c>
    </row>
    <row r="3" customFormat="false" ht="15" hidden="false" customHeight="false" outlineLevel="0" collapsed="false">
      <c r="A3" s="6" t="s">
        <v>105</v>
      </c>
      <c r="B3" s="6" t="n">
        <v>9830</v>
      </c>
      <c r="C3" s="13" t="n">
        <v>8.13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32"/>
  </cols>
  <sheetData>
    <row r="1" customFormat="false" ht="31.5" hidden="false" customHeight="true" outlineLevel="0" collapsed="false">
      <c r="A1" s="15" t="s">
        <v>106</v>
      </c>
      <c r="B1" s="15" t="s">
        <v>107</v>
      </c>
      <c r="C1" s="15" t="s">
        <v>108</v>
      </c>
    </row>
    <row r="2" customFormat="false" ht="15" hidden="false" customHeight="false" outlineLevel="0" collapsed="false">
      <c r="A2" s="25" t="s">
        <v>109</v>
      </c>
      <c r="B2" s="25" t="n">
        <v>12</v>
      </c>
      <c r="C2" s="25" t="s">
        <v>110</v>
      </c>
    </row>
    <row r="3" customFormat="false" ht="15" hidden="false" customHeight="false" outlineLevel="0" collapsed="false">
      <c r="A3" s="6" t="s">
        <v>111</v>
      </c>
      <c r="B3" s="6" t="n">
        <v>25</v>
      </c>
      <c r="C3" s="6" t="s">
        <v>112</v>
      </c>
    </row>
    <row r="4" customFormat="false" ht="15" hidden="false" customHeight="false" outlineLevel="0" collapsed="false">
      <c r="A4" s="25" t="s">
        <v>113</v>
      </c>
      <c r="B4" s="25" t="n">
        <v>25</v>
      </c>
      <c r="C4" s="25" t="s">
        <v>114</v>
      </c>
    </row>
    <row r="5" customFormat="false" ht="15" hidden="false" customHeight="false" outlineLevel="0" collapsed="false">
      <c r="A5" s="6" t="s">
        <v>115</v>
      </c>
      <c r="B5" s="6" t="n">
        <v>0</v>
      </c>
      <c r="C5" s="6" t="s">
        <v>116</v>
      </c>
    </row>
    <row r="6" customFormat="false" ht="15" hidden="false" customHeight="false" outlineLevel="0" collapsed="false">
      <c r="A6" s="25" t="s">
        <v>117</v>
      </c>
      <c r="B6" s="25" t="n">
        <v>0</v>
      </c>
      <c r="C6" s="25" t="s">
        <v>116</v>
      </c>
    </row>
    <row r="7" customFormat="false" ht="15" hidden="false" customHeight="false" outlineLevel="0" collapsed="false">
      <c r="A7" s="6" t="s">
        <v>118</v>
      </c>
      <c r="B7" s="6" t="n">
        <v>40</v>
      </c>
      <c r="C7" s="6" t="s">
        <v>110</v>
      </c>
    </row>
    <row r="8" customFormat="false" ht="15" hidden="false" customHeight="false" outlineLevel="0" collapsed="false">
      <c r="A8" s="25" t="s">
        <v>119</v>
      </c>
      <c r="B8" s="25" t="n">
        <v>0</v>
      </c>
      <c r="C8" s="25" t="s">
        <v>116</v>
      </c>
    </row>
    <row r="9" customFormat="false" ht="15" hidden="false" customHeight="false" outlineLevel="0" collapsed="false">
      <c r="A9" s="6" t="s">
        <v>120</v>
      </c>
      <c r="B9" s="6" t="n">
        <v>0</v>
      </c>
      <c r="C9" s="6" t="s">
        <v>116</v>
      </c>
    </row>
    <row r="10" customFormat="false" ht="15" hidden="false" customHeight="false" outlineLevel="0" collapsed="false">
      <c r="A10" s="25" t="s">
        <v>121</v>
      </c>
      <c r="B10" s="25" t="n">
        <v>8</v>
      </c>
      <c r="C10" s="25" t="s">
        <v>122</v>
      </c>
    </row>
    <row r="11" customFormat="false" ht="15" hidden="false" customHeight="false" outlineLevel="0" collapsed="false">
      <c r="A11" s="6" t="s">
        <v>123</v>
      </c>
      <c r="B11" s="6" t="n">
        <v>0</v>
      </c>
      <c r="C11" s="6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31.5" hidden="false" customHeight="true" outlineLevel="0" collapsed="false">
      <c r="A1" s="15" t="s">
        <v>125</v>
      </c>
      <c r="B1" s="15" t="s">
        <v>126</v>
      </c>
    </row>
    <row r="2" customFormat="false" ht="15" hidden="false" customHeight="false" outlineLevel="0" collapsed="false">
      <c r="A2" s="25" t="s">
        <v>127</v>
      </c>
      <c r="B2" s="25" t="s">
        <v>128</v>
      </c>
    </row>
    <row r="3" customFormat="false" ht="15" hidden="false" customHeight="false" outlineLevel="0" collapsed="false">
      <c r="A3" s="6" t="s">
        <v>62</v>
      </c>
      <c r="B3" s="6" t="s">
        <v>129</v>
      </c>
    </row>
    <row r="4" customFormat="false" ht="15" hidden="false" customHeight="false" outlineLevel="0" collapsed="false">
      <c r="A4" s="25" t="s">
        <v>130</v>
      </c>
      <c r="B4" s="25" t="s">
        <v>131</v>
      </c>
    </row>
    <row r="5" customFormat="false" ht="15" hidden="false" customHeight="false" outlineLevel="0" collapsed="false">
      <c r="A5" s="6" t="s">
        <v>64</v>
      </c>
      <c r="B5" s="6" t="s">
        <v>132</v>
      </c>
    </row>
    <row r="6" customFormat="false" ht="15" hidden="false" customHeight="false" outlineLevel="0" collapsed="false">
      <c r="A6" s="25" t="s">
        <v>133</v>
      </c>
      <c r="B6" s="25" t="s">
        <v>134</v>
      </c>
    </row>
    <row r="7" customFormat="false" ht="15" hidden="false" customHeight="false" outlineLevel="0" collapsed="false">
      <c r="A7" s="6" t="s">
        <v>135</v>
      </c>
      <c r="B7" s="6" t="s">
        <v>136</v>
      </c>
    </row>
    <row r="8" customFormat="false" ht="15" hidden="false" customHeight="false" outlineLevel="0" collapsed="false">
      <c r="A8" s="25" t="s">
        <v>137</v>
      </c>
      <c r="B8" s="25" t="s">
        <v>138</v>
      </c>
    </row>
    <row r="9" customFormat="false" ht="15" hidden="false" customHeight="false" outlineLevel="0" collapsed="false">
      <c r="A9" s="6" t="s">
        <v>139</v>
      </c>
      <c r="B9" s="6" t="s">
        <v>140</v>
      </c>
    </row>
    <row r="10" customFormat="false" ht="15" hidden="false" customHeight="false" outlineLevel="0" collapsed="false">
      <c r="A10" s="25" t="s">
        <v>141</v>
      </c>
      <c r="B10" s="25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2026-10-14T20:08:21Z</dcterms:created>
  <dc:creator>openpyxl</dc:creator>
  <dc:description/>
  <dc:language>en-US</dc:language>
  <cp:lastModifiedBy/>
  <dcterms:modified xsi:type="dcterms:W3CDTF">2026-10-14T20:08:21Z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